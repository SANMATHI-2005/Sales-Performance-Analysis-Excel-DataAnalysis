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79F6960B-1011-4C8A-BDEA-BAF35F21132B}" xr6:coauthVersionLast="47" xr6:coauthVersionMax="47" xr10:uidLastSave="{00000000-0000-0000-0000-000000000000}"/>
  <bookViews>
    <workbookView xWindow="-120" yWindow="-120" windowWidth="20730" windowHeight="11040" activeTab="2" xr2:uid="{00000000-000D-0000-FFFF-FFFF00000000}"/>
  </bookViews>
  <sheets>
    <sheet name="SALES" sheetId="1" r:id="rId1"/>
    <sheet name="DETAIL" sheetId="7" r:id="rId2"/>
    <sheet name="PIVOT" sheetId="5" r:id="rId3"/>
    <sheet name="DATA" sheetId="2" r:id="rId4"/>
  </sheets>
  <definedNames>
    <definedName name="Slicer_Month1">#N/A</definedName>
    <definedName name="Slicer_Region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G13" i="5" l="1"/>
</calcChain>
</file>

<file path=xl/sharedStrings.xml><?xml version="1.0" encoding="utf-8"?>
<sst xmlns="http://schemas.openxmlformats.org/spreadsheetml/2006/main" count="188" uniqueCount="37">
  <si>
    <t>Region</t>
  </si>
  <si>
    <t>Sum of Profit</t>
  </si>
  <si>
    <t>East</t>
  </si>
  <si>
    <t>North</t>
  </si>
  <si>
    <t>South</t>
  </si>
  <si>
    <t>West</t>
  </si>
  <si>
    <t>Grand Total</t>
  </si>
  <si>
    <t>Date</t>
  </si>
  <si>
    <t>Month</t>
  </si>
  <si>
    <t>Salesperson</t>
  </si>
  <si>
    <t>Product</t>
  </si>
  <si>
    <t>Category</t>
  </si>
  <si>
    <t>Units Sold</t>
  </si>
  <si>
    <t>Sales Amount</t>
  </si>
  <si>
    <t>Profit</t>
  </si>
  <si>
    <t>Jan</t>
  </si>
  <si>
    <t>John</t>
  </si>
  <si>
    <t>Laptop</t>
  </si>
  <si>
    <t>Electronics</t>
  </si>
  <si>
    <t>Emma</t>
  </si>
  <si>
    <t>Mouse</t>
  </si>
  <si>
    <t>Accessories</t>
  </si>
  <si>
    <t>Alex</t>
  </si>
  <si>
    <t>Keyboard</t>
  </si>
  <si>
    <t>Mia</t>
  </si>
  <si>
    <t>Monitor</t>
  </si>
  <si>
    <t>Feb</t>
  </si>
  <si>
    <t>Printer</t>
  </si>
  <si>
    <t>Headset</t>
  </si>
  <si>
    <t>Mar</t>
  </si>
  <si>
    <t>Apr</t>
  </si>
  <si>
    <t>May</t>
  </si>
  <si>
    <t>Jun</t>
  </si>
  <si>
    <t>Sum of Sales Amount</t>
  </si>
  <si>
    <t>Sum of Units Sold</t>
  </si>
  <si>
    <t>x</t>
  </si>
  <si>
    <t>Details for Sum of Sales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</si>
</sst>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m"/>
  </numFmts>
  <fonts count="2">
    <font>
      <sz val="11"/>
      <color theme="1"/>
      <name val="Calibri"/>
      <charset val="134"/>
      <scheme val="minor"/>
    </font>
    <font>
      <b/>
      <sz val="11"/>
      <color theme="1"/>
      <name val="Calibri"/>
      <charset val="134"/>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1" fillId="0" borderId="0" xfId="0" applyFont="1" applyAlignment="1">
      <alignment horizontal="center" vertical="center" wrapText="1"/>
    </xf>
    <xf numFmtId="164" fontId="0" fillId="0" borderId="0" xfId="0" applyNumberFormat="1" applyAlignment="1">
      <alignment vertical="center" wrapText="1"/>
    </xf>
    <xf numFmtId="0" fontId="0" fillId="0" borderId="0" xfId="0" applyAlignment="1">
      <alignment vertical="center" wrapText="1"/>
    </xf>
    <xf numFmtId="0" fontId="0" fillId="2" borderId="0" xfId="0" applyFill="1">
      <alignment vertical="center"/>
    </xf>
    <xf numFmtId="0" fontId="0" fillId="0" borderId="0" xfId="0" pivotButton="1">
      <alignment vertical="center"/>
    </xf>
    <xf numFmtId="14" fontId="0" fillId="0" borderId="0" xfId="0" applyNumberFormat="1">
      <alignment vertical="center"/>
    </xf>
    <xf numFmtId="0" fontId="1" fillId="0" borderId="0" xfId="0" applyFont="1">
      <alignment vertical="center"/>
    </xf>
    <xf numFmtId="0" fontId="0" fillId="0" borderId="0" xfId="0" applyNumberFormat="1">
      <alignment vertical="center"/>
    </xf>
  </cellXfs>
  <cellStyles count="1">
    <cellStyle name="Normal" xfId="0" builtinId="0"/>
  </cellStyles>
  <dxfs count="18">
    <dxf>
      <numFmt numFmtId="19" formatCode="m/d/yyyy"/>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xr9:uid="{267968C8-6FFD-4C36-ACC1-9EA1FD1885CA}">
      <tableStyleElement type="headerRow" dxfId="10"/>
      <tableStyleElement type="totalRow" dxfId="9"/>
      <tableStyleElement type="firstRowStripe" dxfId="8"/>
      <tableStyleElement type="firstColumnStripe" dxfId="7"/>
      <tableStyleElement type="firstSubtotalRow" dxfId="6"/>
      <tableStyleElement type="secondSubtotalRow" dxfId="5"/>
      <tableStyleElement type="firstRowSubheading" dxfId="4"/>
      <tableStyleElement type="secondRowSubheading" dxfId="3"/>
      <tableStyleElement type="pageFieldLabels" dxfId="2"/>
      <tableStyleElement type="pageFieldValues"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 BOARD.xlsx]PIVOT!PivotTable1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3"/>
      </c:pivotFmt>
      <c:pivotFmt>
        <c:idx val="24"/>
      </c:pivotFmt>
      <c:pivotFmt>
        <c:idx val="25"/>
      </c:pivotFmt>
      <c:pivotFmt>
        <c:idx val="26"/>
      </c:pivotFmt>
      <c:pivotFmt>
        <c:idx val="27"/>
      </c:pivotFmt>
      <c:pivotFmt>
        <c:idx val="28"/>
        <c:dLbl>
          <c:idx val="0"/>
          <c:dLblPos val="inEnd"/>
          <c:showLegendKey val="0"/>
          <c:showVal val="0"/>
          <c:showCatName val="0"/>
          <c:showSerName val="0"/>
          <c:showPercent val="0"/>
          <c:showBubbleSize val="0"/>
          <c:extLst>
            <c:ext xmlns:c15="http://schemas.microsoft.com/office/drawing/2012/chart" uri="{CE6537A1-D6FC-4f65-9D91-7224C49458BB}">
              <c15:layout>
                <c:manualLayout>
                  <c:w val="0.10976399825021872"/>
                  <c:h val="9.1726982013222713E-2"/>
                </c:manualLayout>
              </c15:layout>
            </c:ext>
          </c:extLst>
        </c:dLbl>
      </c:pivotFmt>
      <c:pivotFmt>
        <c:idx val="29"/>
        <c:dLbl>
          <c:idx val="0"/>
          <c:layout>
            <c:manualLayout>
              <c:x val="-5.6167650918635223E-2"/>
              <c:y val="-5.1927065010834869E-2"/>
            </c:manualLayout>
          </c:layout>
          <c:tx>
            <c:rich>
              <a:bodyPr/>
              <a:lstStyle/>
              <a:p>
                <a:r>
                  <a:rPr lang="en-US" baseline="0"/>
                  <a:t> North</a:t>
                </a:r>
                <a:fld id="{A621F961-876D-47BB-A72C-E56371889067}" type="PERCENTAGE">
                  <a:rPr lang="en-US" baseline="0"/>
                  <a:pPr/>
                  <a:t>[PERCENTAGE]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layout>
                <c:manualLayout>
                  <c:w val="8.7652887139107599E-2"/>
                  <c:h val="0.22503200664388853"/>
                </c:manualLayout>
              </c15:layout>
              <c15:dlblFieldTable/>
              <c15:showDataLabelsRange val="0"/>
            </c:ext>
          </c:extLst>
        </c:dLbl>
      </c:pivotFmt>
      <c:pivotFmt>
        <c:idx val="30"/>
        <c:dLbl>
          <c:idx val="0"/>
          <c:tx>
            <c:rich>
              <a:bodyPr/>
              <a:lstStyle/>
              <a:p>
                <a:r>
                  <a:rPr lang="en-US" baseline="0"/>
                  <a:t>East</a:t>
                </a:r>
              </a:p>
              <a:p>
                <a:fld id="{5EDA6A10-E066-4249-9A81-FAB69EC08203}" type="PERCENTAGE">
                  <a:rPr lang="en-US" baseline="0"/>
                  <a:pPr/>
                  <a:t>[PERCENTAGE]</a:t>
                </a:fld>
                <a:endParaRPr lang="en-US"/>
              </a:p>
            </c:rich>
          </c:tx>
          <c:dLblPos val="inEnd"/>
          <c:showLegendKey val="0"/>
          <c:showVal val="1"/>
          <c:showCatName val="0"/>
          <c:showSerName val="0"/>
          <c:showPercent val="1"/>
          <c:showBubbleSize val="0"/>
          <c:extLst>
            <c:ext xmlns:c15="http://schemas.microsoft.com/office/drawing/2012/chart" uri="{CE6537A1-D6FC-4f65-9D91-7224C49458BB}">
              <c15:layout>
                <c:manualLayout>
                  <c:w val="0.1224306649168854"/>
                  <c:h val="0.17843001187097104"/>
                </c:manualLayout>
              </c15:layout>
              <c15:dlblFieldTable/>
              <c15:showDataLabelsRange val="0"/>
            </c:ext>
          </c:extLst>
        </c:dLbl>
      </c:pivotFmt>
      <c:pivotFmt>
        <c:idx val="31"/>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32"/>
        <c:dLbl>
          <c:idx val="0"/>
          <c:tx>
            <c:rich>
              <a:bodyPr/>
              <a:lstStyle/>
              <a:p>
                <a:r>
                  <a:rPr lang="en-US" baseline="0"/>
                  <a:t>East</a:t>
                </a:r>
              </a:p>
              <a:p>
                <a:fld id="{5EDA6A10-E066-4249-9A81-FAB69EC08203}" type="PERCENTAGE">
                  <a:rPr lang="en-US" baseline="0"/>
                  <a:pPr/>
                  <a:t>[PERCENTAGE]</a:t>
                </a:fld>
                <a:endParaRPr lang="en-US"/>
              </a:p>
            </c:rich>
          </c:tx>
          <c:dLblPos val="inEnd"/>
          <c:showLegendKey val="0"/>
          <c:showVal val="1"/>
          <c:showCatName val="0"/>
          <c:showSerName val="0"/>
          <c:showPercent val="1"/>
          <c:showBubbleSize val="0"/>
          <c:extLst>
            <c:ext xmlns:c15="http://schemas.microsoft.com/office/drawing/2012/chart" uri="{CE6537A1-D6FC-4f65-9D91-7224C49458BB}">
              <c15:layout>
                <c:manualLayout>
                  <c:w val="0.1224306649168854"/>
                  <c:h val="0.17843001187097104"/>
                </c:manualLayout>
              </c15:layout>
              <c15:dlblFieldTable/>
              <c15:showDataLabelsRange val="0"/>
            </c:ext>
          </c:extLst>
        </c:dLbl>
      </c:pivotFmt>
      <c:pivotFmt>
        <c:idx val="33"/>
        <c:dLbl>
          <c:idx val="0"/>
          <c:layout>
            <c:manualLayout>
              <c:x val="-5.6167650918635223E-2"/>
              <c:y val="-5.1927065010834869E-2"/>
            </c:manualLayout>
          </c:layout>
          <c:tx>
            <c:rich>
              <a:bodyPr/>
              <a:lstStyle/>
              <a:p>
                <a:r>
                  <a:rPr lang="en-US" baseline="0"/>
                  <a:t> North</a:t>
                </a:r>
                <a:fld id="{A621F961-876D-47BB-A72C-E56371889067}" type="PERCENTAGE">
                  <a:rPr lang="en-US" baseline="0"/>
                  <a:pPr/>
                  <a:t>[PERCENTAGE]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layout>
                <c:manualLayout>
                  <c:w val="8.7652887139107599E-2"/>
                  <c:h val="0.22503200664388853"/>
                </c:manualLayout>
              </c15:layout>
              <c15:dlblFieldTable/>
              <c15:showDataLabelsRange val="0"/>
            </c:ext>
          </c:extLst>
        </c:dLbl>
      </c:pivotFmt>
      <c:pivotFmt>
        <c:idx val="34"/>
        <c:dLbl>
          <c:idx val="0"/>
          <c:showLegendKey val="0"/>
          <c:showVal val="0"/>
          <c:showCatName val="0"/>
          <c:showSerName val="0"/>
          <c:showPercent val="0"/>
          <c:showBubbleSize val="0"/>
          <c:extLst>
            <c:ext xmlns:c15="http://schemas.microsoft.com/office/drawing/2012/chart" uri="{CE6537A1-D6FC-4f65-9D91-7224C49458BB}">
              <c15:layout>
                <c:manualLayout>
                  <c:w val="0.10976399825021872"/>
                  <c:h val="9.1726982013222713E-2"/>
                </c:manualLayout>
              </c15:layout>
            </c:ext>
          </c:extLst>
        </c:dLbl>
      </c:pivotFmt>
      <c:pivotFmt>
        <c:idx val="35"/>
      </c:pivotFmt>
      <c:pivotFmt>
        <c:idx val="36"/>
      </c:pivotFmt>
      <c:pivotFmt>
        <c:idx val="37"/>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38"/>
        <c:dLbl>
          <c:idx val="0"/>
          <c:tx>
            <c:rich>
              <a:bodyPr/>
              <a:lstStyle/>
              <a:p>
                <a:r>
                  <a:rPr lang="en-US" baseline="0"/>
                  <a:t>East</a:t>
                </a:r>
              </a:p>
              <a:p>
                <a:fld id="{5EDA6A10-E066-4249-9A81-FAB69EC08203}" type="PERCENTAGE">
                  <a:rPr lang="en-US" baseline="0"/>
                  <a:pPr/>
                  <a:t>[PERCENTAGE]</a:t>
                </a:fld>
                <a:endParaRPr lang="en-US"/>
              </a:p>
            </c:rich>
          </c:tx>
          <c:dLblPos val="inEnd"/>
          <c:showLegendKey val="0"/>
          <c:showVal val="1"/>
          <c:showCatName val="0"/>
          <c:showSerName val="0"/>
          <c:showPercent val="1"/>
          <c:showBubbleSize val="0"/>
          <c:extLst>
            <c:ext xmlns:c15="http://schemas.microsoft.com/office/drawing/2012/chart" uri="{CE6537A1-D6FC-4f65-9D91-7224C49458BB}">
              <c15:layout>
                <c:manualLayout>
                  <c:w val="0.1224306649168854"/>
                  <c:h val="0.17843001187097104"/>
                </c:manualLayout>
              </c15:layout>
              <c15:dlblFieldTable/>
              <c15:showDataLabelsRange val="0"/>
            </c:ext>
          </c:extLst>
        </c:dLbl>
      </c:pivotFmt>
      <c:pivotFmt>
        <c:idx val="39"/>
        <c:dLbl>
          <c:idx val="0"/>
          <c:layout>
            <c:manualLayout>
              <c:x val="-5.6167650918635223E-2"/>
              <c:y val="-5.1927065010834869E-2"/>
            </c:manualLayout>
          </c:layout>
          <c:tx>
            <c:rich>
              <a:bodyPr/>
              <a:lstStyle/>
              <a:p>
                <a:r>
                  <a:rPr lang="en-US" baseline="0"/>
                  <a:t> North</a:t>
                </a:r>
                <a:fld id="{A621F961-876D-47BB-A72C-E56371889067}" type="PERCENTAGE">
                  <a:rPr lang="en-US" baseline="0"/>
                  <a:pPr/>
                  <a:t>[PERCENTAGE]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layout>
                <c:manualLayout>
                  <c:w val="8.7652887139107599E-2"/>
                  <c:h val="0.22503200664388853"/>
                </c:manualLayout>
              </c15:layout>
              <c15:dlblFieldTable/>
              <c15:showDataLabelsRange val="0"/>
            </c:ext>
          </c:extLst>
        </c:dLbl>
      </c:pivotFmt>
      <c:pivotFmt>
        <c:idx val="40"/>
        <c:dLbl>
          <c:idx val="0"/>
          <c:showLegendKey val="0"/>
          <c:showVal val="0"/>
          <c:showCatName val="0"/>
          <c:showSerName val="0"/>
          <c:showPercent val="0"/>
          <c:showBubbleSize val="0"/>
          <c:extLst>
            <c:ext xmlns:c15="http://schemas.microsoft.com/office/drawing/2012/chart" uri="{CE6537A1-D6FC-4f65-9D91-7224C49458BB}">
              <c15:layout>
                <c:manualLayout>
                  <c:w val="0.10976399825021872"/>
                  <c:h val="9.1726982013222713E-2"/>
                </c:manualLayout>
              </c15:layout>
            </c:ext>
          </c:extLst>
        </c:dLbl>
      </c:pivotFmt>
      <c:pivotFmt>
        <c:idx val="41"/>
      </c:pivotFmt>
      <c:pivotFmt>
        <c:idx val="42"/>
      </c:pivotFmt>
      <c:pivotFmt>
        <c:idx val="43"/>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4"/>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dLbl>
          <c:idx val="0"/>
          <c:layout>
            <c:manualLayout>
              <c:x val="-7.8371062992125984E-2"/>
              <c:y val="0.1349835569314892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East</a:t>
                </a:r>
              </a:p>
              <a:p>
                <a:pPr>
                  <a:defRPr/>
                </a:pPr>
                <a:fld id="{249F68FD-38A1-43B0-BE87-2AC295CB079E}"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8.209733158355205E-2"/>
                  <c:h val="0.15802935375869387"/>
                </c:manualLayout>
              </c15:layout>
              <c15:dlblFieldTable/>
              <c15:showDataLabelsRange val="0"/>
            </c:ext>
          </c:extLst>
        </c:dLbl>
      </c:pivotFmt>
      <c:pivotFmt>
        <c:idx val="45"/>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dLbl>
          <c:idx val="0"/>
          <c:layout>
            <c:manualLayout>
              <c:x val="-6.9595800524934387E-2"/>
              <c:y val="-9.561095165790072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North</a:t>
                </a:r>
              </a:p>
              <a:p>
                <a:pPr>
                  <a:defRPr/>
                </a:pPr>
                <a:r>
                  <a:rPr lang="en-US"/>
                  <a:t>30%</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9.8763998250218726E-2"/>
                  <c:h val="0.18353026596849051"/>
                </c:manualLayout>
              </c15:layout>
              <c15:showDataLabelsRange val="0"/>
            </c:ext>
          </c:extLst>
        </c:dLbl>
      </c:pivotFmt>
      <c:pivotFmt>
        <c:idx val="46"/>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South</a:t>
                </a:r>
              </a:p>
              <a:p>
                <a:pPr>
                  <a:defRPr/>
                </a:pPr>
                <a:fld id="{7E65816F-8067-4ED7-8FC4-91AF3620A6C2}"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0709733158355206"/>
                  <c:h val="0.16822971864261252"/>
                </c:manualLayout>
              </c15:layout>
              <c15:dlblFieldTable/>
              <c15:showDataLabelsRange val="0"/>
            </c:ext>
          </c:extLst>
        </c:dLbl>
      </c:pivotFmt>
      <c:pivotFmt>
        <c:idx val="47"/>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dLbl>
          <c:idx val="0"/>
          <c:layout>
            <c:manualLayout>
              <c:x val="8.0692475940507435E-2"/>
              <c:y val="0.1471954819612169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West</a:t>
                </a:r>
              </a:p>
              <a:p>
                <a:pPr>
                  <a:defRPr/>
                </a:pPr>
                <a:fld id="{85854FA2-8A89-4961-90CD-94E65BAB65F2}"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0709733158355206"/>
                  <c:h val="0.15292917131673456"/>
                </c:manualLayout>
              </c15:layout>
              <c15:dlblFieldTable/>
              <c15:showDataLabelsRange val="0"/>
            </c:ext>
          </c:extLst>
        </c:dLbl>
      </c:pivotFmt>
      <c:pivotFmt>
        <c:idx val="48"/>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PIVOT!$B$3</c:f>
              <c:strCache>
                <c:ptCount val="1"/>
                <c:pt idx="0">
                  <c:v>Total</c:v>
                </c:pt>
              </c:strCache>
            </c:strRef>
          </c:tx>
          <c:dPt>
            <c:idx val="0"/>
            <c:bubble3D val="0"/>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AB93-48DC-AA2A-0A52E93D90A4}"/>
              </c:ext>
            </c:extLst>
          </c:dPt>
          <c:dPt>
            <c:idx val="1"/>
            <c:bubble3D val="0"/>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AB93-48DC-AA2A-0A52E93D90A4}"/>
              </c:ext>
            </c:extLst>
          </c:dPt>
          <c:dPt>
            <c:idx val="2"/>
            <c:bubble3D val="0"/>
            <c:spPr>
              <a:gradFill>
                <a:gsLst>
                  <a:gs pos="0">
                    <a:schemeClr val="accent3">
                      <a:hueOff val="-2520000"/>
                    </a:schemeClr>
                  </a:gs>
                  <a:gs pos="100000">
                    <a:schemeClr val="accent3"/>
                  </a:gs>
                </a:gsLst>
                <a:lin ang="27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AB93-48DC-AA2A-0A52E93D90A4}"/>
              </c:ext>
            </c:extLst>
          </c:dPt>
          <c:dPt>
            <c:idx val="3"/>
            <c:bubble3D val="0"/>
            <c:spPr>
              <a:gradFill>
                <a:gsLst>
                  <a:gs pos="0">
                    <a:schemeClr val="accent4">
                      <a:hueOff val="-2520000"/>
                    </a:schemeClr>
                  </a:gs>
                  <a:gs pos="100000">
                    <a:schemeClr val="accent4"/>
                  </a:gs>
                </a:gsLst>
                <a:lin ang="27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AB93-48DC-AA2A-0A52E93D90A4}"/>
              </c:ext>
            </c:extLst>
          </c:dPt>
          <c:dPt>
            <c:idx val="4"/>
            <c:bubble3D val="0"/>
            <c:spPr>
              <a:gradFill>
                <a:gsLst>
                  <a:gs pos="0">
                    <a:schemeClr val="accent5">
                      <a:hueOff val="-2520000"/>
                    </a:schemeClr>
                  </a:gs>
                  <a:gs pos="100000">
                    <a:schemeClr val="accent5"/>
                  </a:gs>
                </a:gsLst>
                <a:lin ang="27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97E-4B99-B0FD-85BE1ADCFF9C}"/>
              </c:ext>
            </c:extLst>
          </c:dPt>
          <c:dLbls>
            <c:dLbl>
              <c:idx val="0"/>
              <c:layout>
                <c:manualLayout>
                  <c:x val="-7.8371062992125984E-2"/>
                  <c:y val="0.1349835569314892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East</a:t>
                    </a:r>
                  </a:p>
                  <a:p>
                    <a:pPr>
                      <a:defRPr/>
                    </a:pPr>
                    <a:fld id="{249F68FD-38A1-43B0-BE87-2AC295CB079E}"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8.209733158355205E-2"/>
                      <c:h val="0.15802935375869387"/>
                    </c:manualLayout>
                  </c15:layout>
                  <c15:dlblFieldTable/>
                  <c15:showDataLabelsRange val="0"/>
                </c:ext>
                <c:ext xmlns:c16="http://schemas.microsoft.com/office/drawing/2014/chart" uri="{C3380CC4-5D6E-409C-BE32-E72D297353CC}">
                  <c16:uniqueId val="{0000000C-AB93-48DC-AA2A-0A52E93D90A4}"/>
                </c:ext>
              </c:extLst>
            </c:dLbl>
            <c:dLbl>
              <c:idx val="1"/>
              <c:layout>
                <c:manualLayout>
                  <c:x val="-6.9595800524934387E-2"/>
                  <c:y val="-9.561095165790072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North</a:t>
                    </a:r>
                  </a:p>
                  <a:p>
                    <a:pPr>
                      <a:defRPr/>
                    </a:pPr>
                    <a:r>
                      <a:rPr lang="en-US"/>
                      <a:t>30%</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9.8763998250218726E-2"/>
                      <c:h val="0.18353026596849051"/>
                    </c:manualLayout>
                  </c15:layout>
                  <c15:showDataLabelsRange val="0"/>
                </c:ext>
                <c:ext xmlns:c16="http://schemas.microsoft.com/office/drawing/2014/chart" uri="{C3380CC4-5D6E-409C-BE32-E72D297353CC}">
                  <c16:uniqueId val="{0000000E-AB93-48DC-AA2A-0A52E93D90A4}"/>
                </c:ext>
              </c:extLst>
            </c:dLbl>
            <c:dLbl>
              <c:idx val="2"/>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South</a:t>
                    </a:r>
                  </a:p>
                  <a:p>
                    <a:pPr>
                      <a:defRPr/>
                    </a:pPr>
                    <a:fld id="{7E65816F-8067-4ED7-8FC4-91AF3620A6C2}"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0709733158355206"/>
                      <c:h val="0.16822971864261252"/>
                    </c:manualLayout>
                  </c15:layout>
                  <c15:dlblFieldTable/>
                  <c15:showDataLabelsRange val="0"/>
                </c:ext>
                <c:ext xmlns:c16="http://schemas.microsoft.com/office/drawing/2014/chart" uri="{C3380CC4-5D6E-409C-BE32-E72D297353CC}">
                  <c16:uniqueId val="{00000010-AB93-48DC-AA2A-0A52E93D90A4}"/>
                </c:ext>
              </c:extLst>
            </c:dLbl>
            <c:dLbl>
              <c:idx val="3"/>
              <c:layout>
                <c:manualLayout>
                  <c:x val="8.0692475940507435E-2"/>
                  <c:y val="0.1471954819612169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West</a:t>
                    </a:r>
                  </a:p>
                  <a:p>
                    <a:pPr>
                      <a:defRPr/>
                    </a:pPr>
                    <a:fld id="{85854FA2-8A89-4961-90CD-94E65BAB65F2}"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0709733158355206"/>
                      <c:h val="0.15292917131673456"/>
                    </c:manualLayout>
                  </c15:layout>
                  <c15:dlblFieldTable/>
                  <c15:showDataLabelsRange val="0"/>
                </c:ext>
                <c:ext xmlns:c16="http://schemas.microsoft.com/office/drawing/2014/chart" uri="{C3380CC4-5D6E-409C-BE32-E72D297353CC}">
                  <c16:uniqueId val="{00000012-AB93-48DC-AA2A-0A52E93D90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PIVOT!$A$4:$A$8</c:f>
              <c:strCache>
                <c:ptCount val="4"/>
                <c:pt idx="0">
                  <c:v>East</c:v>
                </c:pt>
                <c:pt idx="1">
                  <c:v>North</c:v>
                </c:pt>
                <c:pt idx="2">
                  <c:v>South</c:v>
                </c:pt>
                <c:pt idx="3">
                  <c:v>West</c:v>
                </c:pt>
              </c:strCache>
            </c:strRef>
          </c:cat>
          <c:val>
            <c:numRef>
              <c:f>PIVOT!$B$4:$B$8</c:f>
              <c:numCache>
                <c:formatCode>General</c:formatCode>
                <c:ptCount val="4"/>
                <c:pt idx="0">
                  <c:v>180</c:v>
                </c:pt>
                <c:pt idx="1">
                  <c:v>450</c:v>
                </c:pt>
                <c:pt idx="2">
                  <c:v>120</c:v>
                </c:pt>
                <c:pt idx="3">
                  <c:v>320</c:v>
                </c:pt>
              </c:numCache>
            </c:numRef>
          </c:val>
          <c:extLst>
            <c:ext xmlns:c16="http://schemas.microsoft.com/office/drawing/2014/chart" uri="{C3380CC4-5D6E-409C-BE32-E72D297353CC}">
              <c16:uniqueId val="{00000015-AB93-48DC-AA2A-0A52E93D90A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 BOARD.xlsx]PIVOT!PivotTable2</c:name>
    <c:fmtId val="15"/>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a:gsLst>
              <a:gs pos="0">
                <a:schemeClr val="accent1">
                  <a:lumOff val="17500"/>
                </a:schemeClr>
              </a:gs>
              <a:gs pos="100000">
                <a:schemeClr val="accent1"/>
              </a:gs>
            </a:gsLst>
            <a:lin ang="2700000" scaled="0"/>
          </a:gradFill>
          <a:ln w="9525" cap="flat" cmpd="sng" algn="ctr">
            <a:solidFill>
              <a:schemeClr val="accent1">
                <a:shade val="95000"/>
              </a:schemeClr>
            </a:solidFill>
            <a:round/>
          </a:ln>
          <a:effectLst>
            <a:outerShdw blurRad="101600" dist="50800" dir="5400000" algn="ctr" rotWithShape="0">
              <a:scrgbClr r="0" g="0" b="0">
                <a:alpha val="60000"/>
              </a:scrgbClr>
            </a:outerShdw>
          </a:effectLst>
        </c:spPr>
        <c:marker>
          <c:symbol val="circle"/>
          <c:size val="4"/>
          <c:spPr>
            <a:gradFill>
              <a:gsLst>
                <a:gs pos="0">
                  <a:schemeClr val="accent1">
                    <a:lumOff val="17500"/>
                  </a:schemeClr>
                </a:gs>
                <a:gs pos="100000">
                  <a:schemeClr val="accent1"/>
                </a:gs>
              </a:gsLst>
              <a:lin ang="2700000" scaled="0"/>
            </a:gradFill>
            <a:ln w="9525" cap="flat" cmpd="sng" algn="ctr">
              <a:solidFill>
                <a:schemeClr val="accent1">
                  <a:shade val="95000"/>
                </a:schemeClr>
              </a:solidFill>
              <a:round/>
            </a:ln>
            <a:effectLst>
              <a:outerShdw blurRad="101600" dist="50800" dir="5400000" algn="ctr" rotWithShape="0">
                <a:scrgbClr r="0" g="0" b="0">
                  <a:alpha val="60000"/>
                </a:sc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Off val="17500"/>
                </a:schemeClr>
              </a:gs>
              <a:gs pos="100000">
                <a:schemeClr val="accent1"/>
              </a:gs>
            </a:gsLst>
            <a:lin ang="2700000" scaled="0"/>
          </a:gradFill>
          <a:ln w="9525" cap="flat" cmpd="sng" algn="ctr">
            <a:solidFill>
              <a:schemeClr val="accent1">
                <a:shade val="95000"/>
              </a:schemeClr>
            </a:solidFill>
            <a:round/>
          </a:ln>
          <a:effectLst>
            <a:outerShdw blurRad="101600" dist="50800" dir="5400000" algn="ctr" rotWithShape="0">
              <a:scrgbClr r="0" g="0" b="0">
                <a:alpha val="60000"/>
              </a:sc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Off val="17500"/>
                </a:schemeClr>
              </a:gs>
              <a:gs pos="100000">
                <a:schemeClr val="accent1"/>
              </a:gs>
            </a:gsLst>
            <a:lin ang="2700000" scaled="0"/>
          </a:gradFill>
          <a:ln w="9525" cap="flat" cmpd="sng" algn="ctr">
            <a:solidFill>
              <a:schemeClr val="accent1">
                <a:shade val="95000"/>
              </a:schemeClr>
            </a:solidFill>
            <a:round/>
          </a:ln>
          <a:effectLst>
            <a:outerShdw blurRad="101600" dist="50800" dir="5400000" algn="ctr" rotWithShape="0">
              <a:scrgbClr r="0" g="0" b="0">
                <a:alpha val="60000"/>
              </a:sc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Off val="17500"/>
                </a:schemeClr>
              </a:gs>
              <a:gs pos="100000">
                <a:schemeClr val="accent1"/>
              </a:gs>
            </a:gsLst>
            <a:lin ang="2700000" scaled="0"/>
          </a:gradFill>
          <a:ln w="9525" cap="flat" cmpd="sng" algn="ctr">
            <a:solidFill>
              <a:schemeClr val="accent1">
                <a:shade val="95000"/>
              </a:schemeClr>
            </a:solidFill>
            <a:round/>
          </a:ln>
          <a:effectLst>
            <a:outerShdw blurRad="101600" dist="50800" dir="5400000" algn="ctr" rotWithShape="0">
              <a:scrgbClr r="0" g="0" b="0">
                <a:alpha val="60000"/>
              </a:sc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25371828521428E-2"/>
          <c:y val="0.24476633129192185"/>
          <c:w val="0.76112270341207344"/>
          <c:h val="0.53774387576552929"/>
        </c:manualLayout>
      </c:layout>
      <c:barChart>
        <c:barDir val="col"/>
        <c:grouping val="clustered"/>
        <c:varyColors val="0"/>
        <c:ser>
          <c:idx val="0"/>
          <c:order val="0"/>
          <c:tx>
            <c:strRef>
              <c:f>PIVOT!$D$3</c:f>
              <c:strCache>
                <c:ptCount val="1"/>
                <c:pt idx="0">
                  <c:v>Total</c:v>
                </c:pt>
              </c:strCache>
            </c:strRef>
          </c:tx>
          <c:spPr>
            <a:gradFill>
              <a:gsLst>
                <a:gs pos="0">
                  <a:schemeClr val="accent1">
                    <a:lumOff val="17500"/>
                  </a:schemeClr>
                </a:gs>
                <a:gs pos="100000">
                  <a:schemeClr val="accent1"/>
                </a:gs>
              </a:gsLst>
              <a:lin ang="2700000" scaled="0"/>
            </a:gradFill>
            <a:ln w="9525" cap="flat" cmpd="sng" algn="ctr">
              <a:solidFill>
                <a:schemeClr val="accent1">
                  <a:shade val="95000"/>
                </a:schemeClr>
              </a:solidFill>
              <a:round/>
            </a:ln>
            <a:effectLst>
              <a:outerShdw blurRad="101600" dist="50800" dir="5400000" algn="ctr" rotWithShape="0">
                <a:scrgbClr r="0" g="0" b="0">
                  <a:alpha val="60000"/>
                </a:scrgbClr>
              </a:outerShdw>
            </a:effectLst>
          </c:spPr>
          <c:invertIfNegative val="0"/>
          <c:cat>
            <c:strRef>
              <c:f>PIVOT!$C$4:$C$5</c:f>
              <c:strCache>
                <c:ptCount val="1"/>
                <c:pt idx="0">
                  <c:v>Jan</c:v>
                </c:pt>
              </c:strCache>
            </c:strRef>
          </c:cat>
          <c:val>
            <c:numRef>
              <c:f>PIVOT!$D$4:$D$5</c:f>
              <c:numCache>
                <c:formatCode>General</c:formatCode>
                <c:ptCount val="1"/>
                <c:pt idx="0">
                  <c:v>5100</c:v>
                </c:pt>
              </c:numCache>
            </c:numRef>
          </c:val>
          <c:extLst>
            <c:ext xmlns:c16="http://schemas.microsoft.com/office/drawing/2014/chart" uri="{C3380CC4-5D6E-409C-BE32-E72D297353CC}">
              <c16:uniqueId val="{00000000-B46C-4204-A72B-5D826341D199}"/>
            </c:ext>
          </c:extLst>
        </c:ser>
        <c:dLbls>
          <c:showLegendKey val="0"/>
          <c:showVal val="0"/>
          <c:showCatName val="0"/>
          <c:showSerName val="0"/>
          <c:showPercent val="0"/>
          <c:showBubbleSize val="0"/>
        </c:dLbls>
        <c:gapWidth val="100"/>
        <c:overlap val="-24"/>
        <c:axId val="783713535"/>
        <c:axId val="783714015"/>
      </c:barChart>
      <c:catAx>
        <c:axId val="78371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83714015"/>
        <c:crosses val="autoZero"/>
        <c:auto val="1"/>
        <c:lblAlgn val="ctr"/>
        <c:lblOffset val="100"/>
        <c:noMultiLvlLbl val="0"/>
      </c:catAx>
      <c:valAx>
        <c:axId val="783714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8371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9525</xdr:rowOff>
    </xdr:from>
    <xdr:to>
      <xdr:col>19</xdr:col>
      <xdr:colOff>589915</xdr:colOff>
      <xdr:row>4</xdr:row>
      <xdr:rowOff>162560</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9525" y="9525"/>
          <a:ext cx="12162790" cy="915035"/>
        </a:xfrm>
        <a:prstGeom prst="rect">
          <a:avLst/>
        </a:prstGeom>
        <a:effectLst>
          <a:softEdge rad="12700"/>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en-US" sz="1100"/>
        </a:p>
      </xdr:txBody>
    </xdr:sp>
    <xdr:clientData/>
  </xdr:twoCellAnchor>
  <xdr:twoCellAnchor>
    <xdr:from>
      <xdr:col>2</xdr:col>
      <xdr:colOff>571500</xdr:colOff>
      <xdr:row>5</xdr:row>
      <xdr:rowOff>111760</xdr:rowOff>
    </xdr:from>
    <xdr:to>
      <xdr:col>8</xdr:col>
      <xdr:colOff>27940</xdr:colOff>
      <xdr:row>12</xdr:row>
      <xdr:rowOff>26035</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1790700" y="1064260"/>
          <a:ext cx="3114040" cy="1247775"/>
        </a:xfrm>
        <a:prstGeom prst="rect">
          <a:avLst/>
        </a:prstGeom>
        <a:solidFill>
          <a:sysClr val="window" lastClr="FFFFFF"/>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t"/>
        <a:lstStyle/>
        <a:p>
          <a:pPr algn="l"/>
          <a:r>
            <a:rPr lang="en-US" sz="1100"/>
            <a:t>tRTYTTIIUIUU</a:t>
          </a:r>
        </a:p>
      </xdr:txBody>
    </xdr:sp>
    <xdr:clientData/>
  </xdr:twoCellAnchor>
  <xdr:twoCellAnchor>
    <xdr:from>
      <xdr:col>14</xdr:col>
      <xdr:colOff>19050</xdr:colOff>
      <xdr:row>5</xdr:row>
      <xdr:rowOff>161925</xdr:rowOff>
    </xdr:from>
    <xdr:to>
      <xdr:col>19</xdr:col>
      <xdr:colOff>85090</xdr:colOff>
      <xdr:row>12</xdr:row>
      <xdr:rowOff>76200</xdr:rowOff>
    </xdr:to>
    <xdr:sp macro="" textlink="">
      <xdr:nvSpPr>
        <xdr:cNvPr id="8" name="Rectangle 7">
          <a:extLst>
            <a:ext uri="{FF2B5EF4-FFF2-40B4-BE49-F238E27FC236}">
              <a16:creationId xmlns:a16="http://schemas.microsoft.com/office/drawing/2014/main" id="{00000000-0008-0000-0000-000008000000}"/>
            </a:ext>
          </a:extLst>
        </xdr:cNvPr>
        <xdr:cNvSpPr/>
      </xdr:nvSpPr>
      <xdr:spPr>
        <a:xfrm>
          <a:off x="8553450" y="1114425"/>
          <a:ext cx="3114040" cy="1247775"/>
        </a:xfrm>
        <a:prstGeom prst="rect">
          <a:avLst/>
        </a:prstGeom>
        <a:solidFill>
          <a:sysClr val="window" lastClr="FFFFFF"/>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3</xdr:col>
      <xdr:colOff>314325</xdr:colOff>
      <xdr:row>8</xdr:row>
      <xdr:rowOff>66675</xdr:rowOff>
    </xdr:from>
    <xdr:to>
      <xdr:col>7</xdr:col>
      <xdr:colOff>47625</xdr:colOff>
      <xdr:row>11</xdr:row>
      <xdr:rowOff>47625</xdr:rowOff>
    </xdr:to>
    <xdr:sp macro="" textlink="">
      <xdr:nvSpPr>
        <xdr:cNvPr id="11" name="Text Box 10">
          <a:extLst>
            <a:ext uri="{FF2B5EF4-FFF2-40B4-BE49-F238E27FC236}">
              <a16:creationId xmlns:a16="http://schemas.microsoft.com/office/drawing/2014/main" id="{00000000-0008-0000-0000-00000B000000}"/>
            </a:ext>
          </a:extLst>
        </xdr:cNvPr>
        <xdr:cNvSpPr txBox="1"/>
      </xdr:nvSpPr>
      <xdr:spPr>
        <a:xfrm>
          <a:off x="2143125" y="1590675"/>
          <a:ext cx="2171700" cy="55245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a:solidFill>
                <a:schemeClr val="accent1"/>
              </a:solidFill>
              <a:effectLst>
                <a:outerShdw blurRad="38100" dist="25400" dir="5400000" algn="ctr" rotWithShape="0">
                  <a:srgbClr val="6E747A">
                    <a:alpha val="43000"/>
                  </a:srgbClr>
                </a:outerShdw>
              </a:effectLst>
            </a:rPr>
            <a:t>$1780</a:t>
          </a:r>
        </a:p>
      </xdr:txBody>
    </xdr:sp>
    <xdr:clientData/>
  </xdr:twoCellAnchor>
  <xdr:twoCellAnchor>
    <xdr:from>
      <xdr:col>3</xdr:col>
      <xdr:colOff>400685</xdr:colOff>
      <xdr:row>6</xdr:row>
      <xdr:rowOff>76200</xdr:rowOff>
    </xdr:from>
    <xdr:to>
      <xdr:col>6</xdr:col>
      <xdr:colOff>228600</xdr:colOff>
      <xdr:row>8</xdr:row>
      <xdr:rowOff>28575</xdr:rowOff>
    </xdr:to>
    <xdr:sp macro="" textlink="">
      <xdr:nvSpPr>
        <xdr:cNvPr id="12" name="Text Box 11">
          <a:extLst>
            <a:ext uri="{FF2B5EF4-FFF2-40B4-BE49-F238E27FC236}">
              <a16:creationId xmlns:a16="http://schemas.microsoft.com/office/drawing/2014/main" id="{00000000-0008-0000-0000-00000C000000}"/>
            </a:ext>
          </a:extLst>
        </xdr:cNvPr>
        <xdr:cNvSpPr txBox="1"/>
      </xdr:nvSpPr>
      <xdr:spPr>
        <a:xfrm>
          <a:off x="2229485" y="1219200"/>
          <a:ext cx="1656715" cy="33337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ctr"/>
          <a:r>
            <a:rPr lang="en-US" sz="1600" b="1" u="sng">
              <a:solidFill>
                <a:schemeClr val="accent1"/>
              </a:solidFill>
            </a:rPr>
            <a:t> TOTAL SALES</a:t>
          </a:r>
        </a:p>
      </xdr:txBody>
    </xdr:sp>
    <xdr:clientData/>
  </xdr:twoCellAnchor>
  <xdr:twoCellAnchor>
    <xdr:from>
      <xdr:col>3</xdr:col>
      <xdr:colOff>47625</xdr:colOff>
      <xdr:row>6</xdr:row>
      <xdr:rowOff>133350</xdr:rowOff>
    </xdr:from>
    <xdr:to>
      <xdr:col>4</xdr:col>
      <xdr:colOff>116205</xdr:colOff>
      <xdr:row>10</xdr:row>
      <xdr:rowOff>35560</xdr:rowOff>
    </xdr:to>
    <xdr:sp macro="" textlink="">
      <xdr:nvSpPr>
        <xdr:cNvPr id="16" name="Oval 15">
          <a:extLst>
            <a:ext uri="{FF2B5EF4-FFF2-40B4-BE49-F238E27FC236}">
              <a16:creationId xmlns:a16="http://schemas.microsoft.com/office/drawing/2014/main" id="{00000000-0008-0000-0000-000010000000}"/>
            </a:ext>
          </a:extLst>
        </xdr:cNvPr>
        <xdr:cNvSpPr/>
      </xdr:nvSpPr>
      <xdr:spPr>
        <a:xfrm>
          <a:off x="1876425" y="1276350"/>
          <a:ext cx="678180" cy="664210"/>
        </a:xfrm>
        <a:prstGeom prst="ellipse">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2800" b="1"/>
            <a:t> $</a:t>
          </a:r>
        </a:p>
      </xdr:txBody>
    </xdr:sp>
    <xdr:clientData/>
  </xdr:twoCellAnchor>
  <xdr:twoCellAnchor>
    <xdr:from>
      <xdr:col>4</xdr:col>
      <xdr:colOff>466725</xdr:colOff>
      <xdr:row>0</xdr:row>
      <xdr:rowOff>180975</xdr:rowOff>
    </xdr:from>
    <xdr:to>
      <xdr:col>13</xdr:col>
      <xdr:colOff>209550</xdr:colOff>
      <xdr:row>3</xdr:row>
      <xdr:rowOff>171450</xdr:rowOff>
    </xdr:to>
    <xdr:sp macro="" textlink="">
      <xdr:nvSpPr>
        <xdr:cNvPr id="18" name="Text Box 17">
          <a:extLst>
            <a:ext uri="{FF2B5EF4-FFF2-40B4-BE49-F238E27FC236}">
              <a16:creationId xmlns:a16="http://schemas.microsoft.com/office/drawing/2014/main" id="{00000000-0008-0000-0000-000012000000}"/>
            </a:ext>
          </a:extLst>
        </xdr:cNvPr>
        <xdr:cNvSpPr txBox="1"/>
      </xdr:nvSpPr>
      <xdr:spPr>
        <a:xfrm>
          <a:off x="2905125" y="180975"/>
          <a:ext cx="5229225" cy="561975"/>
        </a:xfrm>
        <a:prstGeom prst="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noAutofit/>
        </a:bodyPr>
        <a:lstStyle/>
        <a:p>
          <a:pPr algn="ctr"/>
          <a:r>
            <a:rPr lang="en-US" sz="1800">
              <a:latin typeface="Times New Roman" panose="02020603050405020304" charset="0"/>
              <a:cs typeface="Times New Roman" panose="02020603050405020304" charset="0"/>
            </a:rPr>
            <a:t>         SALES PERFORMANCE ANALYSIS</a:t>
          </a:r>
        </a:p>
      </xdr:txBody>
    </xdr:sp>
    <xdr:clientData/>
  </xdr:twoCellAnchor>
  <xdr:twoCellAnchor>
    <xdr:from>
      <xdr:col>8</xdr:col>
      <xdr:colOff>361950</xdr:colOff>
      <xdr:row>5</xdr:row>
      <xdr:rowOff>161925</xdr:rowOff>
    </xdr:from>
    <xdr:to>
      <xdr:col>13</xdr:col>
      <xdr:colOff>427990</xdr:colOff>
      <xdr:row>12</xdr:row>
      <xdr:rowOff>76200</xdr:rowOff>
    </xdr:to>
    <xdr:sp macro="" textlink="">
      <xdr:nvSpPr>
        <xdr:cNvPr id="19" name="Rectangle 18">
          <a:extLst>
            <a:ext uri="{FF2B5EF4-FFF2-40B4-BE49-F238E27FC236}">
              <a16:creationId xmlns:a16="http://schemas.microsoft.com/office/drawing/2014/main" id="{00000000-0008-0000-0000-000013000000}"/>
            </a:ext>
          </a:extLst>
        </xdr:cNvPr>
        <xdr:cNvSpPr/>
      </xdr:nvSpPr>
      <xdr:spPr>
        <a:xfrm>
          <a:off x="5238750" y="1114425"/>
          <a:ext cx="3114040" cy="1247775"/>
        </a:xfrm>
        <a:prstGeom prst="rect">
          <a:avLst/>
        </a:prstGeom>
        <a:solidFill>
          <a:sysClr val="window" lastClr="FFFFFF"/>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1100"/>
            <a:t>tRTYTTT IIUIUU</a:t>
          </a:r>
        </a:p>
      </xdr:txBody>
    </xdr:sp>
    <xdr:clientData/>
  </xdr:twoCellAnchor>
  <xdr:twoCellAnchor>
    <xdr:from>
      <xdr:col>9</xdr:col>
      <xdr:colOff>238125</xdr:colOff>
      <xdr:row>8</xdr:row>
      <xdr:rowOff>9525</xdr:rowOff>
    </xdr:from>
    <xdr:to>
      <xdr:col>12</xdr:col>
      <xdr:colOff>390525</xdr:colOff>
      <xdr:row>10</xdr:row>
      <xdr:rowOff>161925</xdr:rowOff>
    </xdr:to>
    <xdr:sp macro="" textlink="">
      <xdr:nvSpPr>
        <xdr:cNvPr id="20" name="Text Box 19">
          <a:extLst>
            <a:ext uri="{FF2B5EF4-FFF2-40B4-BE49-F238E27FC236}">
              <a16:creationId xmlns:a16="http://schemas.microsoft.com/office/drawing/2014/main" id="{00000000-0008-0000-0000-000014000000}"/>
            </a:ext>
          </a:extLst>
        </xdr:cNvPr>
        <xdr:cNvSpPr txBox="1"/>
      </xdr:nvSpPr>
      <xdr:spPr>
        <a:xfrm>
          <a:off x="5724525" y="1533525"/>
          <a:ext cx="1981200" cy="533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a:solidFill>
                <a:schemeClr val="accent1"/>
              </a:solidFill>
              <a:effectLst>
                <a:outerShdw blurRad="38100" dist="25400" dir="5400000" algn="ctr" rotWithShape="0">
                  <a:srgbClr val="6E747A">
                    <a:alpha val="43000"/>
                  </a:srgbClr>
                </a:outerShdw>
              </a:effectLst>
            </a:rPr>
            <a:t>$3760</a:t>
          </a:r>
        </a:p>
      </xdr:txBody>
    </xdr:sp>
    <xdr:clientData/>
  </xdr:twoCellAnchor>
  <xdr:twoCellAnchor>
    <xdr:from>
      <xdr:col>9</xdr:col>
      <xdr:colOff>370205</xdr:colOff>
      <xdr:row>6</xdr:row>
      <xdr:rowOff>76200</xdr:rowOff>
    </xdr:from>
    <xdr:to>
      <xdr:col>12</xdr:col>
      <xdr:colOff>94615</xdr:colOff>
      <xdr:row>8</xdr:row>
      <xdr:rowOff>19050</xdr:rowOff>
    </xdr:to>
    <xdr:sp macro="" textlink="">
      <xdr:nvSpPr>
        <xdr:cNvPr id="22" name="Text Box 21">
          <a:extLst>
            <a:ext uri="{FF2B5EF4-FFF2-40B4-BE49-F238E27FC236}">
              <a16:creationId xmlns:a16="http://schemas.microsoft.com/office/drawing/2014/main" id="{00000000-0008-0000-0000-000016000000}"/>
            </a:ext>
          </a:extLst>
        </xdr:cNvPr>
        <xdr:cNvSpPr txBox="1"/>
      </xdr:nvSpPr>
      <xdr:spPr>
        <a:xfrm>
          <a:off x="5856605" y="1219200"/>
          <a:ext cx="1553210" cy="3238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u="sng">
              <a:solidFill>
                <a:schemeClr val="accent1"/>
              </a:solidFill>
              <a:sym typeface="+mn-ea"/>
            </a:rPr>
            <a:t>TOTAL  PROFIT</a:t>
          </a:r>
          <a:endParaRPr lang="en-US" sz="1600" b="1" u="sng">
            <a:solidFill>
              <a:schemeClr val="accent1"/>
            </a:solidFill>
          </a:endParaRPr>
        </a:p>
        <a:p>
          <a:pPr algn="l"/>
          <a:endParaRPr lang="en-US" sz="1100" b="1" u="sng"/>
        </a:p>
      </xdr:txBody>
    </xdr:sp>
    <xdr:clientData/>
  </xdr:twoCellAnchor>
  <xdr:twoCellAnchor>
    <xdr:from>
      <xdr:col>8</xdr:col>
      <xdr:colOff>390525</xdr:colOff>
      <xdr:row>6</xdr:row>
      <xdr:rowOff>104775</xdr:rowOff>
    </xdr:from>
    <xdr:to>
      <xdr:col>9</xdr:col>
      <xdr:colOff>384175</xdr:colOff>
      <xdr:row>10</xdr:row>
      <xdr:rowOff>43180</xdr:rowOff>
    </xdr:to>
    <xdr:sp macro="" textlink="">
      <xdr:nvSpPr>
        <xdr:cNvPr id="27" name="Oval 26">
          <a:extLst>
            <a:ext uri="{FF2B5EF4-FFF2-40B4-BE49-F238E27FC236}">
              <a16:creationId xmlns:a16="http://schemas.microsoft.com/office/drawing/2014/main" id="{00000000-0008-0000-0000-00001B000000}"/>
            </a:ext>
          </a:extLst>
        </xdr:cNvPr>
        <xdr:cNvSpPr/>
      </xdr:nvSpPr>
      <xdr:spPr>
        <a:xfrm>
          <a:off x="5267325" y="1247775"/>
          <a:ext cx="603250" cy="700405"/>
        </a:xfrm>
        <a:prstGeom prst="ellipse">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1800" b="1"/>
            <a:t> </a:t>
          </a:r>
          <a:r>
            <a:rPr lang="en-US" sz="2800" b="1"/>
            <a:t>$</a:t>
          </a:r>
        </a:p>
      </xdr:txBody>
    </xdr:sp>
    <xdr:clientData/>
  </xdr:twoCellAnchor>
  <xdr:twoCellAnchor>
    <xdr:from>
      <xdr:col>15</xdr:col>
      <xdr:colOff>294640</xdr:colOff>
      <xdr:row>6</xdr:row>
      <xdr:rowOff>76200</xdr:rowOff>
    </xdr:from>
    <xdr:to>
      <xdr:col>18</xdr:col>
      <xdr:colOff>132715</xdr:colOff>
      <xdr:row>8</xdr:row>
      <xdr:rowOff>9525</xdr:rowOff>
    </xdr:to>
    <xdr:sp macro="" textlink="">
      <xdr:nvSpPr>
        <xdr:cNvPr id="29" name="Text Box 28">
          <a:extLst>
            <a:ext uri="{FF2B5EF4-FFF2-40B4-BE49-F238E27FC236}">
              <a16:creationId xmlns:a16="http://schemas.microsoft.com/office/drawing/2014/main" id="{00000000-0008-0000-0000-00001D000000}"/>
            </a:ext>
          </a:extLst>
        </xdr:cNvPr>
        <xdr:cNvSpPr txBox="1"/>
      </xdr:nvSpPr>
      <xdr:spPr>
        <a:xfrm>
          <a:off x="9438640" y="1219200"/>
          <a:ext cx="1666875" cy="31432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u="sng">
              <a:solidFill>
                <a:schemeClr val="accent1"/>
              </a:solidFill>
              <a:sym typeface="+mn-ea"/>
            </a:rPr>
            <a:t>TOTAL  UNIT</a:t>
          </a:r>
          <a:endParaRPr lang="en-US" sz="1600" b="1" u="sng">
            <a:solidFill>
              <a:schemeClr val="accent1"/>
            </a:solidFill>
          </a:endParaRPr>
        </a:p>
        <a:p>
          <a:pPr algn="ctr"/>
          <a:endParaRPr lang="en-US" sz="1100"/>
        </a:p>
      </xdr:txBody>
    </xdr:sp>
    <xdr:clientData/>
  </xdr:twoCellAnchor>
  <xdr:twoCellAnchor>
    <xdr:from>
      <xdr:col>15</xdr:col>
      <xdr:colOff>180975</xdr:colOff>
      <xdr:row>8</xdr:row>
      <xdr:rowOff>29210</xdr:rowOff>
    </xdr:from>
    <xdr:to>
      <xdr:col>18</xdr:col>
      <xdr:colOff>247650</xdr:colOff>
      <xdr:row>11</xdr:row>
      <xdr:rowOff>75565</xdr:rowOff>
    </xdr:to>
    <xdr:sp macro="" textlink="">
      <xdr:nvSpPr>
        <xdr:cNvPr id="9" name="Text Box 8">
          <a:extLst>
            <a:ext uri="{FF2B5EF4-FFF2-40B4-BE49-F238E27FC236}">
              <a16:creationId xmlns:a16="http://schemas.microsoft.com/office/drawing/2014/main" id="{00000000-0008-0000-0000-000009000000}"/>
            </a:ext>
          </a:extLst>
        </xdr:cNvPr>
        <xdr:cNvSpPr txBox="1"/>
      </xdr:nvSpPr>
      <xdr:spPr>
        <a:xfrm>
          <a:off x="9324975" y="1553210"/>
          <a:ext cx="1895475" cy="61785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a:solidFill>
                <a:schemeClr val="accent1"/>
              </a:solidFill>
              <a:effectLst>
                <a:outerShdw blurRad="38100" dist="25400" dir="5400000" algn="ctr" rotWithShape="0">
                  <a:srgbClr val="6E747A">
                    <a:alpha val="43000"/>
                  </a:srgbClr>
                </a:outerShdw>
              </a:effectLst>
            </a:rPr>
            <a:t>134</a:t>
          </a:r>
        </a:p>
        <a:p>
          <a:pPr algn="ctr"/>
          <a:endParaRPr lang="en-US" sz="1100"/>
        </a:p>
      </xdr:txBody>
    </xdr:sp>
    <xdr:clientData/>
  </xdr:twoCellAnchor>
  <xdr:twoCellAnchor editAs="oneCell">
    <xdr:from>
      <xdr:col>0</xdr:col>
      <xdr:colOff>0</xdr:colOff>
      <xdr:row>5</xdr:row>
      <xdr:rowOff>68035</xdr:rowOff>
    </xdr:from>
    <xdr:to>
      <xdr:col>2</xdr:col>
      <xdr:colOff>394607</xdr:colOff>
      <xdr:row>17</xdr:row>
      <xdr:rowOff>122464</xdr:rowOff>
    </xdr:to>
    <mc:AlternateContent xmlns:mc="http://schemas.openxmlformats.org/markup-compatibility/2006" xmlns:a14="http://schemas.microsoft.com/office/drawing/2010/main">
      <mc:Choice Requires="a14">
        <xdr:graphicFrame macro="">
          <xdr:nvGraphicFramePr>
            <xdr:cNvPr id="7" name="Month 1">
              <a:extLst>
                <a:ext uri="{FF2B5EF4-FFF2-40B4-BE49-F238E27FC236}">
                  <a16:creationId xmlns:a16="http://schemas.microsoft.com/office/drawing/2014/main" id="{566141FE-2B11-4DDC-8009-A91BA97FA1C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1020535"/>
              <a:ext cx="1619250" cy="23404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557892</xdr:colOff>
      <xdr:row>14</xdr:row>
      <xdr:rowOff>136069</xdr:rowOff>
    </xdr:from>
    <xdr:to>
      <xdr:col>10</xdr:col>
      <xdr:colOff>231321</xdr:colOff>
      <xdr:row>30</xdr:row>
      <xdr:rowOff>122463</xdr:rowOff>
    </xdr:to>
    <xdr:graphicFrame macro="">
      <xdr:nvGraphicFramePr>
        <xdr:cNvPr id="10" name="Chart 9">
          <a:extLst>
            <a:ext uri="{FF2B5EF4-FFF2-40B4-BE49-F238E27FC236}">
              <a16:creationId xmlns:a16="http://schemas.microsoft.com/office/drawing/2014/main" id="{C7603BA4-A818-4173-8A79-D3E059FBC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489857</xdr:colOff>
      <xdr:row>15</xdr:row>
      <xdr:rowOff>72117</xdr:rowOff>
    </xdr:from>
    <xdr:to>
      <xdr:col>18</xdr:col>
      <xdr:colOff>163285</xdr:colOff>
      <xdr:row>30</xdr:row>
      <xdr:rowOff>40820</xdr:rowOff>
    </xdr:to>
    <xdr:graphicFrame macro="">
      <xdr:nvGraphicFramePr>
        <xdr:cNvPr id="6" name="Chart 5">
          <a:extLst>
            <a:ext uri="{FF2B5EF4-FFF2-40B4-BE49-F238E27FC236}">
              <a16:creationId xmlns:a16="http://schemas.microsoft.com/office/drawing/2014/main" id="{38BDA3A9-842F-4881-99A3-A453B9400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19</xdr:row>
      <xdr:rowOff>0</xdr:rowOff>
    </xdr:from>
    <xdr:to>
      <xdr:col>2</xdr:col>
      <xdr:colOff>326571</xdr:colOff>
      <xdr:row>32</xdr:row>
      <xdr:rowOff>47625</xdr:rowOff>
    </xdr:to>
    <mc:AlternateContent xmlns:mc="http://schemas.openxmlformats.org/markup-compatibility/2006" xmlns:a14="http://schemas.microsoft.com/office/drawing/2010/main">
      <mc:Choice Requires="a14">
        <xdr:graphicFrame macro="">
          <xdr:nvGraphicFramePr>
            <xdr:cNvPr id="13" name="Region 1">
              <a:extLst>
                <a:ext uri="{FF2B5EF4-FFF2-40B4-BE49-F238E27FC236}">
                  <a16:creationId xmlns:a16="http://schemas.microsoft.com/office/drawing/2014/main" id="{EA2BBEDA-0CD6-4BC3-8D0F-98CA5F8FAC5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3619500"/>
              <a:ext cx="1551214"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24.799675925897" createdVersion="5" refreshedVersion="5" minRefreshableVersion="3" recordCount="16" xr:uid="{00000000-000A-0000-FFFF-FFFF00000000}">
  <cacheSource type="worksheet">
    <worksheetSource ref="A1:I1048576" sheet="DATA"/>
  </cacheSource>
  <cacheFields count="9">
    <cacheField name="Date" numFmtId="0">
      <sharedItems containsNonDate="0" containsDate="1" containsString="0" containsBlank="1" minDate="2026-01-02T00:00:00" maxDate="2026-06-25T00:00:00" count="16">
        <d v="2026-01-02T00:00:00"/>
        <d v="2026-01-05T00:00:00"/>
        <d v="2026-01-10T00:00:00"/>
        <d v="2026-01-15T00:00:00"/>
        <d v="2026-02-20T00:00:00"/>
        <d v="2026-02-22T00:00:00"/>
        <d v="2026-03-05T00:00:00"/>
        <d v="2026-03-08T00:00:00"/>
        <d v="2026-04-12T00:00:00"/>
        <d v="2026-04-18T00:00:00"/>
        <d v="2026-05-25T00:00:00"/>
        <d v="2026-05-30T00:00:00"/>
        <d v="2026-06-05T00:00:00"/>
        <d v="2026-06-15T00:00:00"/>
        <d v="2026-06-25T00:00:00"/>
        <m/>
      </sharedItems>
    </cacheField>
    <cacheField name="Month" numFmtId="0">
      <sharedItems containsBlank="1" count="7">
        <s v="Jan"/>
        <s v="Feb"/>
        <s v="Mar"/>
        <s v="Apr"/>
        <s v="May"/>
        <s v="Jun"/>
        <m/>
      </sharedItems>
    </cacheField>
    <cacheField name="Salesperson" numFmtId="0">
      <sharedItems containsBlank="1" count="5">
        <s v="John"/>
        <s v="Emma"/>
        <s v="Alex"/>
        <s v="Mia"/>
        <m/>
      </sharedItems>
    </cacheField>
    <cacheField name="Region" numFmtId="0">
      <sharedItems containsBlank="1" count="5">
        <s v="North"/>
        <s v="South"/>
        <s v="East"/>
        <s v="West"/>
        <m/>
      </sharedItems>
    </cacheField>
    <cacheField name="Product" numFmtId="0">
      <sharedItems containsBlank="1" count="7">
        <s v="Laptop"/>
        <s v="Mouse"/>
        <s v="Keyboard"/>
        <s v="Monitor"/>
        <s v="Printer"/>
        <s v="Headset"/>
        <m/>
      </sharedItems>
    </cacheField>
    <cacheField name="Category" numFmtId="0">
      <sharedItems containsBlank="1" count="3">
        <s v="Electronics"/>
        <s v="Accessories"/>
        <m/>
      </sharedItems>
    </cacheField>
    <cacheField name="Units Sold" numFmtId="0">
      <sharedItems containsString="0" containsBlank="1" containsNumber="1" containsInteger="1" minValue="3" maxValue="30" count="14">
        <n v="5"/>
        <n v="20"/>
        <n v="15"/>
        <n v="8"/>
        <n v="4"/>
        <n v="12"/>
        <n v="6"/>
        <n v="25"/>
        <n v="7"/>
        <n v="18"/>
        <n v="3"/>
        <n v="14"/>
        <n v="30"/>
        <m/>
      </sharedItems>
    </cacheField>
    <cacheField name="Sales Amount" numFmtId="0">
      <sharedItems containsString="0" containsBlank="1" containsNumber="1" containsInteger="1" minValue="400" maxValue="3000" count="14">
        <n v="2500"/>
        <n v="400"/>
        <n v="600"/>
        <n v="1600"/>
        <n v="800"/>
        <n v="720"/>
        <n v="3000"/>
        <n v="500"/>
        <n v="1400"/>
        <n v="1000"/>
        <n v="1500"/>
        <n v="840"/>
        <n v="1200"/>
        <m/>
      </sharedItems>
    </cacheField>
    <cacheField name="Profit" numFmtId="0">
      <sharedItems containsString="0" containsBlank="1" containsNumber="1" containsInteger="1" minValue="120" maxValue="550" count="15">
        <n v="450"/>
        <n v="120"/>
        <n v="180"/>
        <n v="320"/>
        <n v="150"/>
        <n v="210"/>
        <n v="550"/>
        <n v="280"/>
        <n v="200"/>
        <n v="190"/>
        <n v="300"/>
        <n v="240"/>
        <n v="250"/>
        <n v="170"/>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6">
  <r>
    <x v="0"/>
    <x v="0"/>
    <x v="0"/>
    <x v="0"/>
    <x v="0"/>
    <x v="0"/>
    <x v="0"/>
    <x v="0"/>
    <x v="0"/>
  </r>
  <r>
    <x v="1"/>
    <x v="0"/>
    <x v="1"/>
    <x v="1"/>
    <x v="1"/>
    <x v="1"/>
    <x v="1"/>
    <x v="1"/>
    <x v="1"/>
  </r>
  <r>
    <x v="2"/>
    <x v="0"/>
    <x v="2"/>
    <x v="2"/>
    <x v="2"/>
    <x v="1"/>
    <x v="2"/>
    <x v="2"/>
    <x v="2"/>
  </r>
  <r>
    <x v="3"/>
    <x v="0"/>
    <x v="3"/>
    <x v="3"/>
    <x v="3"/>
    <x v="0"/>
    <x v="3"/>
    <x v="3"/>
    <x v="3"/>
  </r>
  <r>
    <x v="4"/>
    <x v="1"/>
    <x v="0"/>
    <x v="0"/>
    <x v="4"/>
    <x v="0"/>
    <x v="4"/>
    <x v="4"/>
    <x v="4"/>
  </r>
  <r>
    <x v="5"/>
    <x v="1"/>
    <x v="1"/>
    <x v="1"/>
    <x v="5"/>
    <x v="1"/>
    <x v="5"/>
    <x v="5"/>
    <x v="5"/>
  </r>
  <r>
    <x v="6"/>
    <x v="2"/>
    <x v="2"/>
    <x v="2"/>
    <x v="0"/>
    <x v="0"/>
    <x v="6"/>
    <x v="6"/>
    <x v="6"/>
  </r>
  <r>
    <x v="7"/>
    <x v="2"/>
    <x v="3"/>
    <x v="3"/>
    <x v="1"/>
    <x v="1"/>
    <x v="7"/>
    <x v="7"/>
    <x v="4"/>
  </r>
  <r>
    <x v="8"/>
    <x v="3"/>
    <x v="0"/>
    <x v="0"/>
    <x v="3"/>
    <x v="0"/>
    <x v="8"/>
    <x v="8"/>
    <x v="7"/>
  </r>
  <r>
    <x v="9"/>
    <x v="3"/>
    <x v="1"/>
    <x v="1"/>
    <x v="2"/>
    <x v="1"/>
    <x v="9"/>
    <x v="5"/>
    <x v="8"/>
  </r>
  <r>
    <x v="10"/>
    <x v="4"/>
    <x v="2"/>
    <x v="2"/>
    <x v="4"/>
    <x v="0"/>
    <x v="0"/>
    <x v="9"/>
    <x v="9"/>
  </r>
  <r>
    <x v="11"/>
    <x v="4"/>
    <x v="3"/>
    <x v="3"/>
    <x v="0"/>
    <x v="0"/>
    <x v="10"/>
    <x v="10"/>
    <x v="10"/>
  </r>
  <r>
    <x v="12"/>
    <x v="5"/>
    <x v="0"/>
    <x v="0"/>
    <x v="5"/>
    <x v="1"/>
    <x v="11"/>
    <x v="11"/>
    <x v="11"/>
  </r>
  <r>
    <x v="13"/>
    <x v="5"/>
    <x v="1"/>
    <x v="1"/>
    <x v="3"/>
    <x v="0"/>
    <x v="6"/>
    <x v="12"/>
    <x v="12"/>
  </r>
  <r>
    <x v="14"/>
    <x v="5"/>
    <x v="2"/>
    <x v="2"/>
    <x v="1"/>
    <x v="1"/>
    <x v="12"/>
    <x v="2"/>
    <x v="13"/>
  </r>
  <r>
    <x v="15"/>
    <x v="6"/>
    <x v="4"/>
    <x v="4"/>
    <x v="6"/>
    <x v="2"/>
    <x v="13"/>
    <x v="13"/>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ADA1C1-800C-48C2-894D-09B28B99FBBE}" name="PivotTable2"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17">
  <location ref="C3:D5" firstHeaderRow="1" firstDataRow="1" firstDataCol="1"/>
  <pivotFields count="9">
    <pivotField compact="0" showAll="0"/>
    <pivotField axis="axisRow" compact="0" showAll="0">
      <items count="8">
        <item x="0"/>
        <item h="1" x="1"/>
        <item h="1" x="2"/>
        <item h="1" x="3"/>
        <item h="1" x="4"/>
        <item h="1" x="5"/>
        <item h="1" x="6"/>
        <item t="default"/>
      </items>
    </pivotField>
    <pivotField compact="0" showAll="0"/>
    <pivotField compact="0" showAll="0">
      <items count="6">
        <item x="2"/>
        <item x="0"/>
        <item x="1"/>
        <item x="3"/>
        <item x="4"/>
        <item t="default"/>
      </items>
    </pivotField>
    <pivotField compact="0" showAll="0"/>
    <pivotField compact="0" showAll="0"/>
    <pivotField compact="0" showAll="0"/>
    <pivotField dataField="1" compact="0" showAll="0">
      <items count="15">
        <item x="1"/>
        <item x="7"/>
        <item x="2"/>
        <item x="5"/>
        <item x="4"/>
        <item x="11"/>
        <item x="9"/>
        <item x="12"/>
        <item x="8"/>
        <item x="10"/>
        <item x="3"/>
        <item x="0"/>
        <item x="6"/>
        <item x="13"/>
        <item t="default"/>
      </items>
    </pivotField>
    <pivotField compact="0" showAll="0"/>
  </pivotFields>
  <rowFields count="1">
    <field x="1"/>
  </rowFields>
  <rowItems count="2">
    <i>
      <x/>
    </i>
    <i t="grand">
      <x/>
    </i>
  </rowItems>
  <colItems count="1">
    <i/>
  </colItems>
  <dataFields count="1">
    <dataField name="Sum of Sales Amount" fld="7"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EFFE7E-D875-4C84-9F5E-E5DAE55E91AE}" name="PivotTable4"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17">
  <location ref="E3:F8" firstHeaderRow="1" firstDataRow="1" firstDataCol="1"/>
  <pivotFields count="9">
    <pivotField compact="0" showAll="0"/>
    <pivotField compact="0" showAll="0">
      <items count="8">
        <item x="0"/>
        <item h="1" x="1"/>
        <item h="1" x="2"/>
        <item h="1" x="3"/>
        <item h="1" x="4"/>
        <item h="1" x="5"/>
        <item h="1" x="6"/>
        <item t="default"/>
      </items>
    </pivotField>
    <pivotField compact="0" showAll="0"/>
    <pivotField compact="0" showAll="0">
      <items count="6">
        <item x="2"/>
        <item x="0"/>
        <item x="1"/>
        <item x="3"/>
        <item x="4"/>
        <item t="default"/>
      </items>
    </pivotField>
    <pivotField axis="axisRow" compact="0" showAll="0">
      <items count="8">
        <item x="5"/>
        <item x="2"/>
        <item x="0"/>
        <item x="3"/>
        <item x="1"/>
        <item x="4"/>
        <item x="6"/>
        <item t="default"/>
      </items>
    </pivotField>
    <pivotField compact="0" showAll="0"/>
    <pivotField dataField="1" compact="0" showAll="0"/>
    <pivotField compact="0" showAll="0">
      <items count="15">
        <item x="1"/>
        <item x="7"/>
        <item x="2"/>
        <item x="5"/>
        <item x="4"/>
        <item x="11"/>
        <item x="9"/>
        <item x="12"/>
        <item x="8"/>
        <item x="10"/>
        <item x="3"/>
        <item x="0"/>
        <item x="6"/>
        <item x="13"/>
        <item t="default"/>
      </items>
    </pivotField>
    <pivotField compact="0" showAll="0"/>
  </pivotFields>
  <rowFields count="1">
    <field x="4"/>
  </rowFields>
  <rowItems count="5">
    <i>
      <x v="1"/>
    </i>
    <i>
      <x v="2"/>
    </i>
    <i>
      <x v="3"/>
    </i>
    <i>
      <x v="4"/>
    </i>
    <i t="grand">
      <x/>
    </i>
  </rowItems>
  <colItems count="1">
    <i/>
  </colItems>
  <dataFields count="1">
    <dataField name="Sum of Units Sold" fld="6" baseField="0" baseItem="0"/>
  </dataField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18">
  <location ref="A3:B8" firstHeaderRow="1" firstDataRow="1" firstDataCol="1"/>
  <pivotFields count="9">
    <pivotField compact="0" showAll="0"/>
    <pivotField compact="0" showAll="0">
      <items count="8">
        <item x="0"/>
        <item h="1" x="1"/>
        <item h="1" x="2"/>
        <item h="1" x="3"/>
        <item h="1" x="4"/>
        <item h="1" x="5"/>
        <item h="1" x="6"/>
        <item t="default"/>
      </items>
    </pivotField>
    <pivotField compact="0" showAll="0"/>
    <pivotField axis="axisRow" compact="0" showAll="0">
      <items count="6">
        <item x="2"/>
        <item x="0"/>
        <item x="1"/>
        <item x="3"/>
        <item x="4"/>
        <item t="default"/>
      </items>
    </pivotField>
    <pivotField compact="0" showAll="0"/>
    <pivotField compact="0" showAll="0"/>
    <pivotField compact="0" showAll="0"/>
    <pivotField compact="0" showAll="0">
      <items count="15">
        <item x="1"/>
        <item x="7"/>
        <item x="2"/>
        <item x="5"/>
        <item x="4"/>
        <item x="11"/>
        <item x="9"/>
        <item x="12"/>
        <item x="8"/>
        <item x="10"/>
        <item x="3"/>
        <item x="0"/>
        <item x="6"/>
        <item x="13"/>
        <item t="default"/>
      </items>
    </pivotField>
    <pivotField dataField="1" compact="0" showAll="0"/>
  </pivotFields>
  <rowFields count="1">
    <field x="3"/>
  </rowFields>
  <rowItems count="5">
    <i>
      <x/>
    </i>
    <i>
      <x v="1"/>
    </i>
    <i>
      <x v="2"/>
    </i>
    <i>
      <x v="3"/>
    </i>
    <i t="grand">
      <x/>
    </i>
  </rowItems>
  <colItems count="1">
    <i/>
  </colItems>
  <dataFields count="1">
    <dataField name="Sum of Profit" fld="8" baseField="0" baseItem="0"/>
  </dataFields>
  <chartFormats count="7">
    <chartFormat chart="1" format="1" series="1">
      <pivotArea type="data" outline="0" fieldPosition="0">
        <references count="1">
          <reference field="4294967294" count="1" selected="0">
            <x v="0"/>
          </reference>
        </references>
      </pivotArea>
    </chartFormat>
    <chartFormat chart="5" format="43" series="1">
      <pivotArea type="data" outline="0" fieldPosition="0">
        <references count="1">
          <reference field="4294967294" count="1" selected="0">
            <x v="0"/>
          </reference>
        </references>
      </pivotArea>
    </chartFormat>
    <chartFormat chart="5" format="44">
      <pivotArea type="data" outline="0" fieldPosition="0">
        <references count="2">
          <reference field="4294967294" count="1" selected="0">
            <x v="0"/>
          </reference>
          <reference field="3" count="1" selected="0">
            <x v="0"/>
          </reference>
        </references>
      </pivotArea>
    </chartFormat>
    <chartFormat chart="5" format="45">
      <pivotArea type="data" outline="0" fieldPosition="0">
        <references count="2">
          <reference field="4294967294" count="1" selected="0">
            <x v="0"/>
          </reference>
          <reference field="3" count="1" selected="0">
            <x v="1"/>
          </reference>
        </references>
      </pivotArea>
    </chartFormat>
    <chartFormat chart="5" format="46">
      <pivotArea type="data" outline="0" fieldPosition="0">
        <references count="2">
          <reference field="4294967294" count="1" selected="0">
            <x v="0"/>
          </reference>
          <reference field="3" count="1" selected="0">
            <x v="2"/>
          </reference>
        </references>
      </pivotArea>
    </chartFormat>
    <chartFormat chart="5" format="47">
      <pivotArea type="data" outline="0" fieldPosition="0">
        <references count="2">
          <reference field="4294967294" count="1" selected="0">
            <x v="0"/>
          </reference>
          <reference field="3" count="1" selected="0">
            <x v="3"/>
          </reference>
        </references>
      </pivotArea>
    </chartFormat>
    <chartFormat chart="5" format="48">
      <pivotArea type="data" outline="0" fieldPosition="0">
        <references count="2">
          <reference field="4294967294" count="1" selected="0">
            <x v="0"/>
          </reference>
          <reference field="3" count="1" selected="0">
            <x v="4"/>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B4525CE4-B8FD-429F-88E9-AA0C137EF67C}" sourceName="Month">
  <pivotTables>
    <pivotTable tabId="5" name="PivotTable1"/>
    <pivotTable tabId="5" name="PivotTable2"/>
    <pivotTable tabId="5" name="PivotTable4"/>
  </pivotTables>
  <data>
    <tabular pivotCacheId="1">
      <items count="7">
        <i x="0" s="1"/>
        <i x="1"/>
        <i x="2"/>
        <i x="3"/>
        <i x="4"/>
        <i x="5"/>
        <i x="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7E53D91-3476-4BA8-9366-5A43F23DBA58}" sourceName="Region">
  <pivotTables>
    <pivotTable tabId="5" name="PivotTable1"/>
  </pivotTables>
  <data>
    <tabular pivotCacheId="1">
      <items count="5">
        <i x="2" s="1"/>
        <i x="0" s="1"/>
        <i x="1"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A4B215B0-981D-4E4F-9B50-7DDA6EE9126B}" cache="Slicer_Month1" caption="Month" rowHeight="241300"/>
  <slicer name="Region 1" xr10:uid="{76CC6481-AAB1-49E1-AB3A-F6E6FC740B02}" cache="Slicer_Region1"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DD45AE-32E6-4A45-A8EF-15C4CC9E3F0E}" name="Table2" displayName="Table2" ref="A3:I19" totalsRowShown="0">
  <autoFilter ref="A3:I19" xr:uid="{A0DD45AE-32E6-4A45-A8EF-15C4CC9E3F0E}"/>
  <tableColumns count="9">
    <tableColumn id="1" xr3:uid="{3A4485A2-368A-40C9-9923-03A9B90CB0BC}" name="Date" dataDxfId="0"/>
    <tableColumn id="2" xr3:uid="{C9E77E43-4262-459C-8B52-EB4246B196A2}" name="Month"/>
    <tableColumn id="3" xr3:uid="{54E549F1-E024-44BD-901D-04FE313C24C8}" name="Salesperson"/>
    <tableColumn id="4" xr3:uid="{7DC182CE-C5FF-4E4C-9A85-D79F0D65E981}" name="Region"/>
    <tableColumn id="5" xr3:uid="{0C7E0821-ABEC-4147-9E10-A3970B4BF503}" name="Product"/>
    <tableColumn id="6" xr3:uid="{2EBFB4E7-F84C-4DCF-B0EC-FD1CC9447FE9}" name="Category"/>
    <tableColumn id="7" xr3:uid="{E750E9DC-347E-431E-9375-F6629AE810FD}" name="Units Sold"/>
    <tableColumn id="8" xr3:uid="{A53F1297-FF95-4B9E-BCA3-16CCE83C3293}" name="Sales Amount"/>
    <tableColumn id="9" xr3:uid="{24ACA9FD-6252-421F-83D9-B3220281E253}" name="Profit"/>
  </tableColumns>
  <tableStyleInfo name="TableStylePreset3_Accent1"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2:T21"/>
  <sheetViews>
    <sheetView zoomScale="70" zoomScaleNormal="70" workbookViewId="0">
      <selection activeCell="I36" sqref="I36"/>
    </sheetView>
  </sheetViews>
  <sheetFormatPr defaultColWidth="9.140625" defaultRowHeight="15"/>
  <cols>
    <col min="1" max="20" width="9.140625" style="4"/>
  </cols>
  <sheetData>
    <row r="12" spans="1:1">
      <c r="A12"/>
    </row>
    <row r="21" spans="6:6">
      <c r="F21"/>
    </row>
  </sheetData>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3B605-7D78-40AA-B50E-53C2C800B44D}">
  <dimension ref="A1:I18"/>
  <sheetViews>
    <sheetView workbookViewId="0">
      <selection activeCell="M18" sqref="M18"/>
    </sheetView>
  </sheetViews>
  <sheetFormatPr defaultRowHeight="15"/>
  <cols>
    <col min="1" max="1" width="9.7109375" bestFit="1" customWidth="1"/>
    <col min="2" max="2" width="9.28515625" bestFit="1" customWidth="1"/>
    <col min="3" max="3" width="14" bestFit="1" customWidth="1"/>
    <col min="4" max="4" width="9.42578125" bestFit="1" customWidth="1"/>
    <col min="5" max="5" width="10.140625" bestFit="1" customWidth="1"/>
    <col min="6" max="6" width="11.28515625" bestFit="1" customWidth="1"/>
    <col min="7" max="7" width="12.28515625" bestFit="1" customWidth="1"/>
    <col min="8" max="8" width="15.5703125" bestFit="1" customWidth="1"/>
    <col min="9" max="9" width="9.28515625" bestFit="1" customWidth="1"/>
  </cols>
  <sheetData>
    <row r="1" spans="1:9">
      <c r="A1" s="7" t="s">
        <v>36</v>
      </c>
    </row>
    <row r="3" spans="1:9">
      <c r="A3" t="s">
        <v>7</v>
      </c>
      <c r="B3" t="s">
        <v>8</v>
      </c>
      <c r="C3" t="s">
        <v>9</v>
      </c>
      <c r="D3" t="s">
        <v>0</v>
      </c>
      <c r="E3" t="s">
        <v>10</v>
      </c>
      <c r="F3" t="s">
        <v>11</v>
      </c>
      <c r="G3" t="s">
        <v>12</v>
      </c>
      <c r="H3" t="s">
        <v>13</v>
      </c>
      <c r="I3" t="s">
        <v>14</v>
      </c>
    </row>
    <row r="4" spans="1:9">
      <c r="A4" s="6">
        <v>46024</v>
      </c>
      <c r="B4" t="s">
        <v>15</v>
      </c>
      <c r="C4" t="s">
        <v>16</v>
      </c>
      <c r="D4" t="s">
        <v>3</v>
      </c>
      <c r="E4" t="s">
        <v>17</v>
      </c>
      <c r="F4" t="s">
        <v>18</v>
      </c>
      <c r="G4">
        <v>5</v>
      </c>
      <c r="H4">
        <v>2500</v>
      </c>
      <c r="I4">
        <v>450</v>
      </c>
    </row>
    <row r="5" spans="1:9">
      <c r="A5" s="6">
        <v>46027</v>
      </c>
      <c r="B5" t="s">
        <v>15</v>
      </c>
      <c r="C5" t="s">
        <v>19</v>
      </c>
      <c r="D5" t="s">
        <v>4</v>
      </c>
      <c r="E5" t="s">
        <v>20</v>
      </c>
      <c r="F5" t="s">
        <v>21</v>
      </c>
      <c r="G5">
        <v>20</v>
      </c>
      <c r="H5">
        <v>400</v>
      </c>
      <c r="I5">
        <v>120</v>
      </c>
    </row>
    <row r="6" spans="1:9">
      <c r="A6" s="6">
        <v>46032</v>
      </c>
      <c r="B6" t="s">
        <v>15</v>
      </c>
      <c r="C6" t="s">
        <v>22</v>
      </c>
      <c r="D6" t="s">
        <v>2</v>
      </c>
      <c r="E6" t="s">
        <v>23</v>
      </c>
      <c r="F6" t="s">
        <v>21</v>
      </c>
      <c r="G6">
        <v>15</v>
      </c>
      <c r="H6">
        <v>600</v>
      </c>
      <c r="I6">
        <v>180</v>
      </c>
    </row>
    <row r="7" spans="1:9">
      <c r="A7" s="6">
        <v>46037</v>
      </c>
      <c r="B7" t="s">
        <v>15</v>
      </c>
      <c r="C7" t="s">
        <v>24</v>
      </c>
      <c r="D7" t="s">
        <v>5</v>
      </c>
      <c r="E7" t="s">
        <v>25</v>
      </c>
      <c r="F7" t="s">
        <v>18</v>
      </c>
      <c r="G7">
        <v>8</v>
      </c>
      <c r="H7">
        <v>1600</v>
      </c>
      <c r="I7">
        <v>320</v>
      </c>
    </row>
    <row r="8" spans="1:9">
      <c r="A8" s="6">
        <v>46073</v>
      </c>
      <c r="B8" t="s">
        <v>26</v>
      </c>
      <c r="C8" t="s">
        <v>16</v>
      </c>
      <c r="D8" t="s">
        <v>3</v>
      </c>
      <c r="E8" t="s">
        <v>27</v>
      </c>
      <c r="F8" t="s">
        <v>18</v>
      </c>
      <c r="G8">
        <v>4</v>
      </c>
      <c r="H8">
        <v>800</v>
      </c>
      <c r="I8">
        <v>150</v>
      </c>
    </row>
    <row r="9" spans="1:9">
      <c r="A9" s="6">
        <v>46075</v>
      </c>
      <c r="B9" t="s">
        <v>26</v>
      </c>
      <c r="C9" t="s">
        <v>19</v>
      </c>
      <c r="D9" t="s">
        <v>4</v>
      </c>
      <c r="E9" t="s">
        <v>28</v>
      </c>
      <c r="F9" t="s">
        <v>21</v>
      </c>
      <c r="G9">
        <v>12</v>
      </c>
      <c r="H9">
        <v>720</v>
      </c>
      <c r="I9">
        <v>210</v>
      </c>
    </row>
    <row r="10" spans="1:9">
      <c r="A10" s="6">
        <v>46086</v>
      </c>
      <c r="B10" t="s">
        <v>29</v>
      </c>
      <c r="C10" t="s">
        <v>22</v>
      </c>
      <c r="D10" t="s">
        <v>2</v>
      </c>
      <c r="E10" t="s">
        <v>17</v>
      </c>
      <c r="F10" t="s">
        <v>18</v>
      </c>
      <c r="G10">
        <v>6</v>
      </c>
      <c r="H10">
        <v>3000</v>
      </c>
      <c r="I10">
        <v>550</v>
      </c>
    </row>
    <row r="11" spans="1:9">
      <c r="A11" s="6">
        <v>46089</v>
      </c>
      <c r="B11" t="s">
        <v>29</v>
      </c>
      <c r="C11" t="s">
        <v>24</v>
      </c>
      <c r="D11" t="s">
        <v>5</v>
      </c>
      <c r="E11" t="s">
        <v>20</v>
      </c>
      <c r="F11" t="s">
        <v>21</v>
      </c>
      <c r="G11">
        <v>25</v>
      </c>
      <c r="H11">
        <v>500</v>
      </c>
      <c r="I11">
        <v>150</v>
      </c>
    </row>
    <row r="12" spans="1:9">
      <c r="A12" s="6">
        <v>46124</v>
      </c>
      <c r="B12" t="s">
        <v>30</v>
      </c>
      <c r="C12" t="s">
        <v>16</v>
      </c>
      <c r="D12" t="s">
        <v>3</v>
      </c>
      <c r="E12" t="s">
        <v>25</v>
      </c>
      <c r="F12" t="s">
        <v>18</v>
      </c>
      <c r="G12">
        <v>7</v>
      </c>
      <c r="H12">
        <v>1400</v>
      </c>
      <c r="I12">
        <v>280</v>
      </c>
    </row>
    <row r="13" spans="1:9">
      <c r="A13" s="6">
        <v>46130</v>
      </c>
      <c r="B13" t="s">
        <v>30</v>
      </c>
      <c r="C13" t="s">
        <v>19</v>
      </c>
      <c r="D13" t="s">
        <v>4</v>
      </c>
      <c r="E13" t="s">
        <v>23</v>
      </c>
      <c r="F13" t="s">
        <v>21</v>
      </c>
      <c r="G13">
        <v>18</v>
      </c>
      <c r="H13">
        <v>720</v>
      </c>
      <c r="I13">
        <v>200</v>
      </c>
    </row>
    <row r="14" spans="1:9">
      <c r="A14" s="6">
        <v>46167</v>
      </c>
      <c r="B14" t="s">
        <v>31</v>
      </c>
      <c r="C14" t="s">
        <v>22</v>
      </c>
      <c r="D14" t="s">
        <v>2</v>
      </c>
      <c r="E14" t="s">
        <v>27</v>
      </c>
      <c r="F14" t="s">
        <v>18</v>
      </c>
      <c r="G14">
        <v>5</v>
      </c>
      <c r="H14">
        <v>1000</v>
      </c>
      <c r="I14">
        <v>190</v>
      </c>
    </row>
    <row r="15" spans="1:9">
      <c r="A15" s="6">
        <v>46172</v>
      </c>
      <c r="B15" t="s">
        <v>31</v>
      </c>
      <c r="C15" t="s">
        <v>24</v>
      </c>
      <c r="D15" t="s">
        <v>5</v>
      </c>
      <c r="E15" t="s">
        <v>17</v>
      </c>
      <c r="F15" t="s">
        <v>18</v>
      </c>
      <c r="G15">
        <v>3</v>
      </c>
      <c r="H15">
        <v>1500</v>
      </c>
      <c r="I15">
        <v>300</v>
      </c>
    </row>
    <row r="16" spans="1:9">
      <c r="A16" s="6">
        <v>46178</v>
      </c>
      <c r="B16" t="s">
        <v>32</v>
      </c>
      <c r="C16" t="s">
        <v>16</v>
      </c>
      <c r="D16" t="s">
        <v>3</v>
      </c>
      <c r="E16" t="s">
        <v>28</v>
      </c>
      <c r="F16" t="s">
        <v>21</v>
      </c>
      <c r="G16">
        <v>14</v>
      </c>
      <c r="H16">
        <v>840</v>
      </c>
      <c r="I16">
        <v>240</v>
      </c>
    </row>
    <row r="17" spans="1:9">
      <c r="A17" s="6">
        <v>46188</v>
      </c>
      <c r="B17" t="s">
        <v>32</v>
      </c>
      <c r="C17" t="s">
        <v>19</v>
      </c>
      <c r="D17" t="s">
        <v>4</v>
      </c>
      <c r="E17" t="s">
        <v>25</v>
      </c>
      <c r="F17" t="s">
        <v>18</v>
      </c>
      <c r="G17">
        <v>6</v>
      </c>
      <c r="H17">
        <v>1200</v>
      </c>
      <c r="I17">
        <v>250</v>
      </c>
    </row>
    <row r="18" spans="1:9">
      <c r="A18" s="6">
        <v>46198</v>
      </c>
      <c r="B18" t="s">
        <v>32</v>
      </c>
      <c r="C18" t="s">
        <v>22</v>
      </c>
      <c r="D18" t="s">
        <v>2</v>
      </c>
      <c r="E18" t="s">
        <v>20</v>
      </c>
      <c r="F18" t="s">
        <v>21</v>
      </c>
      <c r="G18">
        <v>30</v>
      </c>
      <c r="H18">
        <v>600</v>
      </c>
      <c r="I18">
        <v>170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G16"/>
  <sheetViews>
    <sheetView tabSelected="1" workbookViewId="0">
      <selection activeCell="F15" sqref="F15"/>
    </sheetView>
  </sheetViews>
  <sheetFormatPr defaultColWidth="9.140625" defaultRowHeight="15"/>
  <cols>
    <col min="1" max="1" width="11.28515625" bestFit="1" customWidth="1"/>
    <col min="2" max="2" width="12.5703125" bestFit="1" customWidth="1"/>
    <col min="3" max="3" width="11.28515625" bestFit="1" customWidth="1"/>
    <col min="4" max="4" width="20" bestFit="1" customWidth="1"/>
    <col min="5" max="5" width="11.28515625" bestFit="1" customWidth="1"/>
    <col min="6" max="7" width="16.7109375" bestFit="1" customWidth="1"/>
  </cols>
  <sheetData>
    <row r="3" spans="1:7">
      <c r="A3" s="5" t="s">
        <v>0</v>
      </c>
      <c r="B3" t="s">
        <v>1</v>
      </c>
      <c r="C3" s="5" t="s">
        <v>8</v>
      </c>
      <c r="D3" t="s">
        <v>33</v>
      </c>
      <c r="E3" s="5" t="s">
        <v>10</v>
      </c>
      <c r="F3" t="s">
        <v>34</v>
      </c>
    </row>
    <row r="4" spans="1:7">
      <c r="A4" t="s">
        <v>2</v>
      </c>
      <c r="B4" s="8">
        <v>180</v>
      </c>
      <c r="C4" t="s">
        <v>15</v>
      </c>
      <c r="D4" s="8">
        <v>5100</v>
      </c>
      <c r="E4" t="s">
        <v>23</v>
      </c>
      <c r="F4" s="8">
        <v>15</v>
      </c>
    </row>
    <row r="5" spans="1:7">
      <c r="A5" t="s">
        <v>3</v>
      </c>
      <c r="B5" s="8">
        <v>450</v>
      </c>
      <c r="C5" t="s">
        <v>6</v>
      </c>
      <c r="D5" s="8">
        <v>5100</v>
      </c>
      <c r="E5" t="s">
        <v>17</v>
      </c>
      <c r="F5" s="8">
        <v>5</v>
      </c>
    </row>
    <row r="6" spans="1:7">
      <c r="A6" t="s">
        <v>4</v>
      </c>
      <c r="B6" s="8">
        <v>120</v>
      </c>
      <c r="E6" t="s">
        <v>25</v>
      </c>
      <c r="F6" s="8">
        <v>8</v>
      </c>
    </row>
    <row r="7" spans="1:7">
      <c r="A7" t="s">
        <v>5</v>
      </c>
      <c r="B7" s="8">
        <v>320</v>
      </c>
      <c r="E7" t="s">
        <v>20</v>
      </c>
      <c r="F7" s="8">
        <v>20</v>
      </c>
    </row>
    <row r="8" spans="1:7">
      <c r="A8" t="s">
        <v>6</v>
      </c>
      <c r="B8" s="8">
        <v>1070</v>
      </c>
      <c r="E8" t="s">
        <v>6</v>
      </c>
      <c r="F8" s="8">
        <v>48</v>
      </c>
    </row>
    <row r="13" spans="1:7">
      <c r="G13">
        <f>GETPIVOTDATA("Units Sold",$E$3)</f>
        <v>48</v>
      </c>
    </row>
    <row r="16" spans="1:7">
      <c r="C16" t="s">
        <v>35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6"/>
  <sheetViews>
    <sheetView workbookViewId="0">
      <selection activeCell="A9" sqref="A9"/>
    </sheetView>
  </sheetViews>
  <sheetFormatPr defaultColWidth="9.140625" defaultRowHeight="15"/>
  <cols>
    <col min="1" max="1" width="15.42578125" customWidth="1"/>
  </cols>
  <sheetData>
    <row r="1" spans="1:9" ht="30">
      <c r="A1" s="1" t="s">
        <v>7</v>
      </c>
      <c r="B1" s="1" t="s">
        <v>8</v>
      </c>
      <c r="C1" s="1" t="s">
        <v>9</v>
      </c>
      <c r="D1" s="1" t="s">
        <v>0</v>
      </c>
      <c r="E1" s="1" t="s">
        <v>10</v>
      </c>
      <c r="F1" s="1" t="s">
        <v>11</v>
      </c>
      <c r="G1" s="1" t="s">
        <v>12</v>
      </c>
      <c r="H1" s="1" t="s">
        <v>13</v>
      </c>
      <c r="I1" s="1" t="s">
        <v>14</v>
      </c>
    </row>
    <row r="2" spans="1:9" ht="30">
      <c r="A2" s="2">
        <v>46024</v>
      </c>
      <c r="B2" s="3" t="s">
        <v>15</v>
      </c>
      <c r="C2" s="3" t="s">
        <v>16</v>
      </c>
      <c r="D2" s="3" t="s">
        <v>3</v>
      </c>
      <c r="E2" s="3" t="s">
        <v>17</v>
      </c>
      <c r="F2" s="3" t="s">
        <v>18</v>
      </c>
      <c r="G2" s="3">
        <v>5</v>
      </c>
      <c r="H2" s="3">
        <v>2500</v>
      </c>
      <c r="I2" s="3">
        <v>450</v>
      </c>
    </row>
    <row r="3" spans="1:9" ht="30">
      <c r="A3" s="2">
        <v>46027</v>
      </c>
      <c r="B3" s="3" t="s">
        <v>15</v>
      </c>
      <c r="C3" s="3" t="s">
        <v>19</v>
      </c>
      <c r="D3" s="3" t="s">
        <v>4</v>
      </c>
      <c r="E3" s="3" t="s">
        <v>20</v>
      </c>
      <c r="F3" s="3" t="s">
        <v>21</v>
      </c>
      <c r="G3" s="3">
        <v>20</v>
      </c>
      <c r="H3" s="3">
        <v>400</v>
      </c>
      <c r="I3" s="3">
        <v>120</v>
      </c>
    </row>
    <row r="4" spans="1:9" ht="30">
      <c r="A4" s="2">
        <v>46032</v>
      </c>
      <c r="B4" s="3" t="s">
        <v>15</v>
      </c>
      <c r="C4" s="3" t="s">
        <v>22</v>
      </c>
      <c r="D4" s="3" t="s">
        <v>2</v>
      </c>
      <c r="E4" s="3" t="s">
        <v>23</v>
      </c>
      <c r="F4" s="3" t="s">
        <v>21</v>
      </c>
      <c r="G4" s="3">
        <v>15</v>
      </c>
      <c r="H4" s="3">
        <v>600</v>
      </c>
      <c r="I4" s="3">
        <v>180</v>
      </c>
    </row>
    <row r="5" spans="1:9" ht="30">
      <c r="A5" s="2">
        <v>46037</v>
      </c>
      <c r="B5" s="3" t="s">
        <v>15</v>
      </c>
      <c r="C5" s="3" t="s">
        <v>24</v>
      </c>
      <c r="D5" s="3" t="s">
        <v>5</v>
      </c>
      <c r="E5" s="3" t="s">
        <v>25</v>
      </c>
      <c r="F5" s="3" t="s">
        <v>18</v>
      </c>
      <c r="G5" s="3">
        <v>8</v>
      </c>
      <c r="H5" s="3">
        <v>1600</v>
      </c>
      <c r="I5" s="3">
        <v>320</v>
      </c>
    </row>
    <row r="6" spans="1:9" ht="30">
      <c r="A6" s="2">
        <v>46073</v>
      </c>
      <c r="B6" s="3" t="s">
        <v>26</v>
      </c>
      <c r="C6" s="3" t="s">
        <v>16</v>
      </c>
      <c r="D6" s="3" t="s">
        <v>3</v>
      </c>
      <c r="E6" s="3" t="s">
        <v>27</v>
      </c>
      <c r="F6" s="3" t="s">
        <v>18</v>
      </c>
      <c r="G6" s="3">
        <v>4</v>
      </c>
      <c r="H6" s="3">
        <v>800</v>
      </c>
      <c r="I6" s="3">
        <v>150</v>
      </c>
    </row>
    <row r="7" spans="1:9" ht="30">
      <c r="A7" s="2">
        <v>46075</v>
      </c>
      <c r="B7" s="3" t="s">
        <v>26</v>
      </c>
      <c r="C7" s="3" t="s">
        <v>19</v>
      </c>
      <c r="D7" s="3" t="s">
        <v>4</v>
      </c>
      <c r="E7" s="3" t="s">
        <v>28</v>
      </c>
      <c r="F7" s="3" t="s">
        <v>21</v>
      </c>
      <c r="G7" s="3">
        <v>12</v>
      </c>
      <c r="H7" s="3">
        <v>720</v>
      </c>
      <c r="I7" s="3">
        <v>210</v>
      </c>
    </row>
    <row r="8" spans="1:9" ht="30">
      <c r="A8" s="2">
        <v>46086</v>
      </c>
      <c r="B8" s="3" t="s">
        <v>29</v>
      </c>
      <c r="C8" s="3" t="s">
        <v>22</v>
      </c>
      <c r="D8" s="3" t="s">
        <v>2</v>
      </c>
      <c r="E8" s="3" t="s">
        <v>17</v>
      </c>
      <c r="F8" s="3" t="s">
        <v>18</v>
      </c>
      <c r="G8" s="3">
        <v>6</v>
      </c>
      <c r="H8" s="3">
        <v>3000</v>
      </c>
      <c r="I8" s="3">
        <v>550</v>
      </c>
    </row>
    <row r="9" spans="1:9" ht="30">
      <c r="A9" s="2">
        <v>46089</v>
      </c>
      <c r="B9" s="3" t="s">
        <v>29</v>
      </c>
      <c r="C9" s="3" t="s">
        <v>24</v>
      </c>
      <c r="D9" s="3" t="s">
        <v>5</v>
      </c>
      <c r="E9" s="3" t="s">
        <v>20</v>
      </c>
      <c r="F9" s="3" t="s">
        <v>21</v>
      </c>
      <c r="G9" s="3">
        <v>25</v>
      </c>
      <c r="H9" s="3">
        <v>500</v>
      </c>
      <c r="I9" s="3">
        <v>150</v>
      </c>
    </row>
    <row r="10" spans="1:9" ht="30">
      <c r="A10" s="2">
        <v>46124</v>
      </c>
      <c r="B10" s="3" t="s">
        <v>30</v>
      </c>
      <c r="C10" s="3" t="s">
        <v>16</v>
      </c>
      <c r="D10" s="3" t="s">
        <v>3</v>
      </c>
      <c r="E10" s="3" t="s">
        <v>25</v>
      </c>
      <c r="F10" s="3" t="s">
        <v>18</v>
      </c>
      <c r="G10" s="3">
        <v>7</v>
      </c>
      <c r="H10" s="3">
        <v>1400</v>
      </c>
      <c r="I10" s="3">
        <v>280</v>
      </c>
    </row>
    <row r="11" spans="1:9" ht="30">
      <c r="A11" s="2">
        <v>46130</v>
      </c>
      <c r="B11" s="3" t="s">
        <v>30</v>
      </c>
      <c r="C11" s="3" t="s">
        <v>19</v>
      </c>
      <c r="D11" s="3" t="s">
        <v>4</v>
      </c>
      <c r="E11" s="3" t="s">
        <v>23</v>
      </c>
      <c r="F11" s="3" t="s">
        <v>21</v>
      </c>
      <c r="G11" s="3">
        <v>18</v>
      </c>
      <c r="H11" s="3">
        <v>720</v>
      </c>
      <c r="I11" s="3">
        <v>200</v>
      </c>
    </row>
    <row r="12" spans="1:9" ht="30">
      <c r="A12" s="2">
        <v>46167</v>
      </c>
      <c r="B12" s="3" t="s">
        <v>31</v>
      </c>
      <c r="C12" s="3" t="s">
        <v>22</v>
      </c>
      <c r="D12" s="3" t="s">
        <v>2</v>
      </c>
      <c r="E12" s="3" t="s">
        <v>27</v>
      </c>
      <c r="F12" s="3" t="s">
        <v>18</v>
      </c>
      <c r="G12" s="3">
        <v>5</v>
      </c>
      <c r="H12" s="3">
        <v>1000</v>
      </c>
      <c r="I12" s="3">
        <v>190</v>
      </c>
    </row>
    <row r="13" spans="1:9" ht="30">
      <c r="A13" s="2">
        <v>46172</v>
      </c>
      <c r="B13" s="3" t="s">
        <v>31</v>
      </c>
      <c r="C13" s="3" t="s">
        <v>24</v>
      </c>
      <c r="D13" s="3" t="s">
        <v>5</v>
      </c>
      <c r="E13" s="3" t="s">
        <v>17</v>
      </c>
      <c r="F13" s="3" t="s">
        <v>18</v>
      </c>
      <c r="G13" s="3">
        <v>3</v>
      </c>
      <c r="H13" s="3">
        <v>1500</v>
      </c>
      <c r="I13" s="3">
        <v>300</v>
      </c>
    </row>
    <row r="14" spans="1:9" ht="30">
      <c r="A14" s="2">
        <v>46178</v>
      </c>
      <c r="B14" s="3" t="s">
        <v>32</v>
      </c>
      <c r="C14" s="3" t="s">
        <v>16</v>
      </c>
      <c r="D14" s="3" t="s">
        <v>3</v>
      </c>
      <c r="E14" s="3" t="s">
        <v>28</v>
      </c>
      <c r="F14" s="3" t="s">
        <v>21</v>
      </c>
      <c r="G14" s="3">
        <v>14</v>
      </c>
      <c r="H14" s="3">
        <v>840</v>
      </c>
      <c r="I14" s="3">
        <v>240</v>
      </c>
    </row>
    <row r="15" spans="1:9" ht="30">
      <c r="A15" s="2">
        <v>46188</v>
      </c>
      <c r="B15" s="3" t="s">
        <v>32</v>
      </c>
      <c r="C15" s="3" t="s">
        <v>19</v>
      </c>
      <c r="D15" s="3" t="s">
        <v>4</v>
      </c>
      <c r="E15" s="3" t="s">
        <v>25</v>
      </c>
      <c r="F15" s="3" t="s">
        <v>18</v>
      </c>
      <c r="G15" s="3">
        <v>6</v>
      </c>
      <c r="H15" s="3">
        <v>1200</v>
      </c>
      <c r="I15" s="3">
        <v>250</v>
      </c>
    </row>
    <row r="16" spans="1:9" ht="30">
      <c r="A16" s="2">
        <v>46198</v>
      </c>
      <c r="B16" s="3" t="s">
        <v>32</v>
      </c>
      <c r="C16" s="3" t="s">
        <v>22</v>
      </c>
      <c r="D16" s="3" t="s">
        <v>2</v>
      </c>
      <c r="E16" s="3" t="s">
        <v>20</v>
      </c>
      <c r="F16" s="3" t="s">
        <v>21</v>
      </c>
      <c r="G16" s="3">
        <v>30</v>
      </c>
      <c r="H16" s="3">
        <v>600</v>
      </c>
      <c r="I16" s="3">
        <v>170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vt:lpstr>
      <vt:lpstr>DETAIL</vt:lpstr>
      <vt:lpstr>PIVOT</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USER</cp:lastModifiedBy>
  <dcterms:created xsi:type="dcterms:W3CDTF">2026-07-21T13:23:00Z</dcterms:created>
  <dcterms:modified xsi:type="dcterms:W3CDTF">2026-10-01T04:58:28Z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862BBB6118C24D9C9407DDB1C7F07A04_13</vt:lpwstr>
  </property>
  <property fmtid="{D5CDD505-2E9C-101B-9397-08002B2CF9AE}" pid="3" name="KSOProductBuildVer">
    <vt:lpwstr>2057-12.2.0.23206</vt:lpwstr>
  </property>
  <property fmtid="{D5CDD505-2E9C-101B-9397-08002B2CF9AE}" pid="4" name="CalculationRule">
    <vt:i4>1</vt:i4>
  </property>
</Properties>
</file>