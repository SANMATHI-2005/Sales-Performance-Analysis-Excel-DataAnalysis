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2007BDF6-7094-4114-8A8C-69AACD538F6C}" xr6:coauthVersionLast="47" xr6:coauthVersionMax="47" xr10:uidLastSave="{00000000-0000-0000-0000-000000000000}"/>
  <bookViews>
    <workbookView xWindow="-120" yWindow="-120" windowWidth="20730" windowHeight="11040" xr2:uid="{B382A047-6C44-4954-AE73-B9A9625B267B}"/>
  </bookViews>
  <sheets>
    <sheet name="Sales" sheetId="1" r:id="rId1"/>
    <sheet name="Pivot" sheetId="3" r:id="rId2"/>
    <sheet name="Data" sheetId="2" r:id="rId3"/>
  </sheets>
  <definedNames>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1" l="1"/>
  <c r="E4" i="1"/>
  <c r="B4" i="1"/>
</calcChain>
</file>

<file path=xl/sharedStrings.xml><?xml version="1.0" encoding="utf-8"?>
<sst xmlns="http://schemas.openxmlformats.org/spreadsheetml/2006/main" count="111" uniqueCount="38">
  <si>
    <t>Date</t>
  </si>
  <si>
    <t>Month</t>
  </si>
  <si>
    <t>Salesperson</t>
  </si>
  <si>
    <t>Region</t>
  </si>
  <si>
    <t>Product</t>
  </si>
  <si>
    <t>Category</t>
  </si>
  <si>
    <t>Units Sold</t>
  </si>
  <si>
    <t>Sales Amount</t>
  </si>
  <si>
    <t>Profit</t>
  </si>
  <si>
    <t>Jan</t>
  </si>
  <si>
    <t>John</t>
  </si>
  <si>
    <t>North</t>
  </si>
  <si>
    <t>Laptop</t>
  </si>
  <si>
    <t>Electronics</t>
  </si>
  <si>
    <t>Emma</t>
  </si>
  <si>
    <t>South</t>
  </si>
  <si>
    <t>Mouse</t>
  </si>
  <si>
    <t>Accessories</t>
  </si>
  <si>
    <t>Alex</t>
  </si>
  <si>
    <t>East</t>
  </si>
  <si>
    <t>Keyboard</t>
  </si>
  <si>
    <t>Mia</t>
  </si>
  <si>
    <t>West</t>
  </si>
  <si>
    <t>Monitor</t>
  </si>
  <si>
    <t>Feb</t>
  </si>
  <si>
    <t>Printer</t>
  </si>
  <si>
    <t>Headset</t>
  </si>
  <si>
    <t>Mar</t>
  </si>
  <si>
    <t>Apr</t>
  </si>
  <si>
    <t>May</t>
  </si>
  <si>
    <t>Jun</t>
  </si>
  <si>
    <t>Row Labels</t>
  </si>
  <si>
    <t>(blank)</t>
  </si>
  <si>
    <t>Grand Total</t>
  </si>
  <si>
    <t>Sum of Sales Amount</t>
  </si>
  <si>
    <t>Sum of Units Sold</t>
  </si>
  <si>
    <t>Sum of Profit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</si>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</sst>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
  </numFmts>
  <fonts count="8">
    <font>
      <sz val="11"/>
      <color theme="1"/>
      <name val="Calibri"/>
      <family val="2"/>
      <scheme val="minor"/>
    </font>
    <font>
      <b/>
      <sz val="11"/>
      <color theme="1"/>
      <name val="Calibri"/>
      <charset val="134"/>
      <scheme val="minor"/>
    </font>
    <font>
      <b/>
      <sz val="28"/>
      <color theme="4"/>
      <name val="Calibri"/>
      <family val="2"/>
      <scheme val="minor"/>
    </font>
    <font>
      <b/>
      <u/>
      <sz val="10"/>
      <color theme="4"/>
      <name val="Calibri"/>
      <family val="2"/>
      <scheme val="minor"/>
    </font>
    <font>
      <u/>
      <sz val="11"/>
      <color theme="10"/>
      <name val="Calibri"/>
      <family val="2"/>
      <scheme val="minor"/>
    </font>
    <font>
      <b/>
      <sz val="28"/>
      <color theme="10"/>
      <name val="Calibri"/>
      <family val="2"/>
      <scheme val="minor"/>
    </font>
    <font>
      <b/>
      <u/>
      <sz val="11"/>
      <color rgb="FF4472C4"/>
      <name val="Calibri"/>
      <family val="2"/>
      <scheme val="minor"/>
    </font>
    <font>
      <b/>
      <sz val="26"/>
      <color theme="4"/>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0" fillId="2" borderId="0" xfId="0" applyFill="1"/>
    <xf numFmtId="0" fontId="1" fillId="0" borderId="0" xfId="0" applyFont="1" applyAlignment="1">
      <alignment horizontal="center" vertical="center" wrapText="1"/>
    </xf>
    <xf numFmtId="164"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0" xfId="0" pivotButton="1"/>
    <xf numFmtId="0" fontId="0" fillId="0" borderId="0" xfId="0" applyAlignment="1">
      <alignment horizontal="left"/>
    </xf>
    <xf numFmtId="0" fontId="0" fillId="3" borderId="0" xfId="0" applyFill="1"/>
    <xf numFmtId="0" fontId="3" fillId="3" borderId="0" xfId="0" applyFont="1" applyFill="1"/>
    <xf numFmtId="0" fontId="2" fillId="3" borderId="0" xfId="0" applyFont="1" applyFill="1" applyAlignment="1">
      <alignment horizontal="right"/>
    </xf>
    <xf numFmtId="0" fontId="5" fillId="3" borderId="0" xfId="1" applyFont="1" applyFill="1"/>
    <xf numFmtId="0" fontId="6" fillId="0" borderId="0" xfId="0" applyFont="1" applyAlignment="1">
      <alignment horizontal="center" vertical="center"/>
    </xf>
    <xf numFmtId="0" fontId="7" fillId="3" borderId="0" xfId="0" applyFont="1" applyFill="1"/>
    <xf numFmtId="0"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[SALEDASHBOARD.XLSX]Pivot!PivotTable1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Pivot!$A$4:$A$11</c:f>
              <c:strCache>
                <c:ptCount val="7"/>
                <c:pt idx="0">
                  <c:v>Jan</c:v>
                </c:pt>
                <c:pt idx="1">
                  <c:v>Feb</c:v>
                </c:pt>
                <c:pt idx="2">
                  <c:v>Mar</c:v>
                </c:pt>
                <c:pt idx="3">
                  <c:v>Apr</c:v>
                </c:pt>
                <c:pt idx="4">
                  <c:v>May</c:v>
                </c:pt>
                <c:pt idx="5">
                  <c:v>Jun</c:v>
                </c:pt>
                <c:pt idx="6">
                  <c:v>(blank)</c:v>
                </c:pt>
              </c:strCache>
            </c:strRef>
          </c:cat>
          <c:val>
            <c:numRef>
              <c:f>Pivot!$B$4:$B$11</c:f>
              <c:numCache>
                <c:formatCode>General</c:formatCode>
                <c:ptCount val="7"/>
                <c:pt idx="0">
                  <c:v>5100</c:v>
                </c:pt>
                <c:pt idx="1">
                  <c:v>1520</c:v>
                </c:pt>
                <c:pt idx="2">
                  <c:v>3500</c:v>
                </c:pt>
                <c:pt idx="3">
                  <c:v>2120</c:v>
                </c:pt>
                <c:pt idx="4">
                  <c:v>2500</c:v>
                </c:pt>
                <c:pt idx="5">
                  <c:v>2640</c:v>
                </c:pt>
              </c:numCache>
            </c:numRef>
          </c:val>
          <c:extLst>
            <c:ext xmlns:c16="http://schemas.microsoft.com/office/drawing/2014/chart" uri="{C3380CC4-5D6E-409C-BE32-E72D297353CC}">
              <c16:uniqueId val="{00000000-2F89-4325-A1FD-5132D84EE086}"/>
            </c:ext>
          </c:extLst>
        </c:ser>
        <c:dLbls>
          <c:showLegendKey val="0"/>
          <c:showVal val="0"/>
          <c:showCatName val="0"/>
          <c:showSerName val="0"/>
          <c:showPercent val="0"/>
          <c:showBubbleSize val="0"/>
        </c:dLbls>
        <c:gapWidth val="219"/>
        <c:overlap val="-27"/>
        <c:axId val="1364659103"/>
        <c:axId val="1364718143"/>
      </c:barChart>
      <c:catAx>
        <c:axId val="136465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18143"/>
        <c:crosses val="autoZero"/>
        <c:auto val="1"/>
        <c:lblAlgn val="ctr"/>
        <c:lblOffset val="100"/>
        <c:noMultiLvlLbl val="0"/>
      </c:catAx>
      <c:valAx>
        <c:axId val="136471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5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[SALEDASHBOARD.XLSX]Pivot!PivotTable2</c:name>
    <c:fmtId val="4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East</a:t>
                </a:r>
              </a:p>
              <a:p>
                <a:pPr>
                  <a:defRPr/>
                </a:pPr>
                <a:fld id="{F2D97D4F-51D7-492D-98EF-EB0ED63D2FB4}"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373438549940556"/>
                  <c:h val="0.13880577427821522"/>
                </c:manualLayout>
              </c15:layout>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1852604857653185E-2"/>
              <c:y val="-0.1271358267716535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North</a:t>
                </a:r>
                <a:fld id="{31E07405-CACD-4B35-8480-4BB3E334461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206407185972651E-2"/>
                  <c:h val="0.16658355205599298"/>
                </c:manualLayout>
              </c15:layout>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East</a:t>
                </a:r>
              </a:p>
              <a:p>
                <a:pPr>
                  <a:defRPr/>
                </a:pPr>
                <a:fld id="{22F8A3CF-4820-49C3-814A-4635B361D3B1}"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9.206407185972651E-2"/>
                  <c:h val="0.16658355205599298"/>
                </c:manualLayout>
              </c15:layout>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35302124433564E-2"/>
              <c:y val="0.1631417322834645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West</a:t>
                </a:r>
              </a:p>
              <a:p>
                <a:pPr>
                  <a:defRPr/>
                </a:pPr>
                <a:fld id="{F24A15EE-1B84-4E0D-A406-ABCC7A451350}"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08168070894858"/>
                  <c:h val="0.16658355205599298"/>
                </c:manualLayout>
              </c15:layout>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240-4629-AB5B-3456F1F84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240-4629-AB5B-3456F1F84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240-4629-AB5B-3456F1F84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240-4629-AB5B-3456F1F84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240-4629-AB5B-3456F1F841B2}"/>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East</a:t>
                    </a:r>
                  </a:p>
                  <a:p>
                    <a:pPr>
                      <a:defRPr/>
                    </a:pPr>
                    <a:fld id="{F2D97D4F-51D7-492D-98EF-EB0ED63D2FB4}"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373438549940556"/>
                      <c:h val="0.13880577427821522"/>
                    </c:manualLayout>
                  </c15:layout>
                  <c15:dlblFieldTable/>
                  <c15:showDataLabelsRange val="0"/>
                </c:ext>
                <c:ext xmlns:c16="http://schemas.microsoft.com/office/drawing/2014/chart" uri="{C3380CC4-5D6E-409C-BE32-E72D297353CC}">
                  <c16:uniqueId val="{00000001-F240-4629-AB5B-3456F1F841B2}"/>
                </c:ext>
              </c:extLst>
            </c:dLbl>
            <c:dLbl>
              <c:idx val="1"/>
              <c:layout>
                <c:manualLayout>
                  <c:x val="-7.1852604857653185E-2"/>
                  <c:y val="-0.1271358267716535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North</a:t>
                    </a:r>
                    <a:fld id="{31E07405-CACD-4B35-8480-4BB3E334461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206407185972651E-2"/>
                      <c:h val="0.16658355205599298"/>
                    </c:manualLayout>
                  </c15:layout>
                  <c15:dlblFieldTable/>
                  <c15:showDataLabelsRange val="0"/>
                </c:ext>
                <c:ext xmlns:c16="http://schemas.microsoft.com/office/drawing/2014/chart" uri="{C3380CC4-5D6E-409C-BE32-E72D297353CC}">
                  <c16:uniqueId val="{00000003-F240-4629-AB5B-3456F1F841B2}"/>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East</a:t>
                    </a:r>
                  </a:p>
                  <a:p>
                    <a:pPr>
                      <a:defRPr/>
                    </a:pPr>
                    <a:fld id="{22F8A3CF-4820-49C3-814A-4635B361D3B1}"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9.206407185972651E-2"/>
                      <c:h val="0.16658355205599298"/>
                    </c:manualLayout>
                  </c15:layout>
                  <c15:dlblFieldTable/>
                  <c15:showDataLabelsRange val="0"/>
                </c:ext>
                <c:ext xmlns:c16="http://schemas.microsoft.com/office/drawing/2014/chart" uri="{C3380CC4-5D6E-409C-BE32-E72D297353CC}">
                  <c16:uniqueId val="{00000005-F240-4629-AB5B-3456F1F841B2}"/>
                </c:ext>
              </c:extLst>
            </c:dLbl>
            <c:dLbl>
              <c:idx val="3"/>
              <c:layout>
                <c:manualLayout>
                  <c:x val="8.935302124433564E-2"/>
                  <c:y val="0.1631417322834645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West</a:t>
                    </a:r>
                  </a:p>
                  <a:p>
                    <a:pPr>
                      <a:defRPr/>
                    </a:pPr>
                    <a:fld id="{F24A15EE-1B84-4E0D-A406-ABCC7A451350}"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08168070894858"/>
                      <c:h val="0.16658355205599298"/>
                    </c:manualLayout>
                  </c15:layout>
                  <c15:dlblFieldTable/>
                  <c15:showDataLabelsRange val="0"/>
                </c:ext>
                <c:ext xmlns:c16="http://schemas.microsoft.com/office/drawing/2014/chart" uri="{C3380CC4-5D6E-409C-BE32-E72D297353CC}">
                  <c16:uniqueId val="{00000007-F240-4629-AB5B-3456F1F841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Pivot!$D$4:$D$9</c:f>
              <c:strCache>
                <c:ptCount val="5"/>
                <c:pt idx="0">
                  <c:v>East</c:v>
                </c:pt>
                <c:pt idx="1">
                  <c:v>North</c:v>
                </c:pt>
                <c:pt idx="2">
                  <c:v>South</c:v>
                </c:pt>
                <c:pt idx="3">
                  <c:v>West</c:v>
                </c:pt>
                <c:pt idx="4">
                  <c:v>(blank)</c:v>
                </c:pt>
              </c:strCache>
            </c:strRef>
          </c:cat>
          <c:val>
            <c:numRef>
              <c:f>Pivot!$E$4:$E$9</c:f>
              <c:numCache>
                <c:formatCode>General</c:formatCode>
                <c:ptCount val="5"/>
                <c:pt idx="0">
                  <c:v>1090</c:v>
                </c:pt>
                <c:pt idx="1">
                  <c:v>1120</c:v>
                </c:pt>
                <c:pt idx="2">
                  <c:v>780</c:v>
                </c:pt>
                <c:pt idx="3">
                  <c:v>770</c:v>
                </c:pt>
              </c:numCache>
            </c:numRef>
          </c:val>
          <c:extLst>
            <c:ext xmlns:c16="http://schemas.microsoft.com/office/drawing/2014/chart" uri="{C3380CC4-5D6E-409C-BE32-E72D297353CC}">
              <c16:uniqueId val="{0000000A-F240-4629-AB5B-3456F1F841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47625</xdr:rowOff>
    </xdr:from>
    <xdr:to>
      <xdr:col>2</xdr:col>
      <xdr:colOff>1257300</xdr:colOff>
      <xdr:row>2</xdr:row>
      <xdr:rowOff>95250</xdr:rowOff>
    </xdr:to>
    <xdr:sp macro="" textlink="">
      <xdr:nvSpPr>
        <xdr:cNvPr id="2" name="Rectangle 1">
          <a:extLst>
            <a:ext uri="{FF2B5EF4-FFF2-40B4-BE49-F238E27FC236}">
              <a16:creationId xmlns:a16="http://schemas.microsoft.com/office/drawing/2014/main" id="{0067E0DF-5ECF-43F4-912B-01FDF325AAFF}"/>
            </a:ext>
          </a:extLst>
        </xdr:cNvPr>
        <xdr:cNvSpPr/>
      </xdr:nvSpPr>
      <xdr:spPr>
        <a:xfrm>
          <a:off x="1285875" y="238125"/>
          <a:ext cx="2524125" cy="2381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u="sng">
              <a:solidFill>
                <a:schemeClr val="accent1"/>
              </a:solidFill>
            </a:rPr>
            <a:t>TOTAL SALES</a:t>
          </a:r>
        </a:p>
      </xdr:txBody>
    </xdr:sp>
    <xdr:clientData/>
  </xdr:twoCellAnchor>
  <xdr:twoCellAnchor>
    <xdr:from>
      <xdr:col>4</xdr:col>
      <xdr:colOff>19050</xdr:colOff>
      <xdr:row>1</xdr:row>
      <xdr:rowOff>19050</xdr:rowOff>
    </xdr:from>
    <xdr:to>
      <xdr:col>5</xdr:col>
      <xdr:colOff>1257300</xdr:colOff>
      <xdr:row>2</xdr:row>
      <xdr:rowOff>76200</xdr:rowOff>
    </xdr:to>
    <xdr:sp macro="" textlink="">
      <xdr:nvSpPr>
        <xdr:cNvPr id="5" name="Rectangle 4">
          <a:extLst>
            <a:ext uri="{FF2B5EF4-FFF2-40B4-BE49-F238E27FC236}">
              <a16:creationId xmlns:a16="http://schemas.microsoft.com/office/drawing/2014/main" id="{8D57E65F-AC75-B170-6F47-2C15D2742AA7}"/>
            </a:ext>
          </a:extLst>
        </xdr:cNvPr>
        <xdr:cNvSpPr/>
      </xdr:nvSpPr>
      <xdr:spPr>
        <a:xfrm>
          <a:off x="5124450" y="209550"/>
          <a:ext cx="2514600" cy="247650"/>
        </a:xfrm>
        <a:prstGeom prst="rect">
          <a:avLst/>
        </a:prstGeom>
        <a:solidFill>
          <a:sysClr val="window" lastClr="FFFFFF"/>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u="sng">
              <a:solidFill>
                <a:schemeClr val="accent1"/>
              </a:solidFill>
            </a:rPr>
            <a:t>TOTAL PROFIT</a:t>
          </a:r>
        </a:p>
      </xdr:txBody>
    </xdr:sp>
    <xdr:clientData/>
  </xdr:twoCellAnchor>
  <xdr:twoCellAnchor>
    <xdr:from>
      <xdr:col>3</xdr:col>
      <xdr:colOff>1249681</xdr:colOff>
      <xdr:row>1</xdr:row>
      <xdr:rowOff>133350</xdr:rowOff>
    </xdr:from>
    <xdr:to>
      <xdr:col>4</xdr:col>
      <xdr:colOff>19050</xdr:colOff>
      <xdr:row>1</xdr:row>
      <xdr:rowOff>179069</xdr:rowOff>
    </xdr:to>
    <xdr:sp macro="" textlink="">
      <xdr:nvSpPr>
        <xdr:cNvPr id="6" name="Rectangle 5">
          <a:extLst>
            <a:ext uri="{FF2B5EF4-FFF2-40B4-BE49-F238E27FC236}">
              <a16:creationId xmlns:a16="http://schemas.microsoft.com/office/drawing/2014/main" id="{C1734465-8A51-8815-0C98-9D6598CC050C}"/>
            </a:ext>
          </a:extLst>
        </xdr:cNvPr>
        <xdr:cNvSpPr/>
      </xdr:nvSpPr>
      <xdr:spPr>
        <a:xfrm>
          <a:off x="5078731" y="323850"/>
          <a:ext cx="45719" cy="45719"/>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xdr:colOff>
      <xdr:row>1</xdr:row>
      <xdr:rowOff>38100</xdr:rowOff>
    </xdr:from>
    <xdr:to>
      <xdr:col>8</xdr:col>
      <xdr:colOff>1266825</xdr:colOff>
      <xdr:row>2</xdr:row>
      <xdr:rowOff>161925</xdr:rowOff>
    </xdr:to>
    <xdr:sp macro="" textlink="">
      <xdr:nvSpPr>
        <xdr:cNvPr id="7" name="Rectangle 6">
          <a:extLst>
            <a:ext uri="{FF2B5EF4-FFF2-40B4-BE49-F238E27FC236}">
              <a16:creationId xmlns:a16="http://schemas.microsoft.com/office/drawing/2014/main" id="{C258520F-B34D-E3D5-D626-0A0FC8510D46}"/>
            </a:ext>
          </a:extLst>
        </xdr:cNvPr>
        <xdr:cNvSpPr/>
      </xdr:nvSpPr>
      <xdr:spPr>
        <a:xfrm>
          <a:off x="8972550" y="228600"/>
          <a:ext cx="2505075" cy="3143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u="sng">
              <a:solidFill>
                <a:schemeClr val="accent1"/>
              </a:solidFill>
            </a:rPr>
            <a:t>TOTAL UNIT</a:t>
          </a:r>
        </a:p>
      </xdr:txBody>
    </xdr:sp>
    <xdr:clientData/>
  </xdr:twoCellAnchor>
  <xdr:twoCellAnchor editAs="oneCell">
    <xdr:from>
      <xdr:col>0</xdr:col>
      <xdr:colOff>19050</xdr:colOff>
      <xdr:row>11</xdr:row>
      <xdr:rowOff>28575</xdr:rowOff>
    </xdr:from>
    <xdr:to>
      <xdr:col>0</xdr:col>
      <xdr:colOff>1190625</xdr:colOff>
      <xdr:row>20</xdr:row>
      <xdr:rowOff>133350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828CCF5-E437-4553-9639-65FBD9A493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390775"/>
              <a:ext cx="1171575"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76199</xdr:rowOff>
    </xdr:from>
    <xdr:to>
      <xdr:col>0</xdr:col>
      <xdr:colOff>1171575</xdr:colOff>
      <xdr:row>10</xdr:row>
      <xdr:rowOff>152400</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B2AAEAC2-B31A-49E8-AAE3-26E0B1D620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76200"/>
              <a:ext cx="1171575"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1209675</xdr:colOff>
      <xdr:row>7</xdr:row>
      <xdr:rowOff>38100</xdr:rowOff>
    </xdr:from>
    <xdr:to>
      <xdr:col>7</xdr:col>
      <xdr:colOff>1162050</xdr:colOff>
      <xdr:row>18</xdr:row>
      <xdr:rowOff>180975</xdr:rowOff>
    </xdr:to>
    <xdr:graphicFrame macro="">
      <xdr:nvGraphicFramePr>
        <xdr:cNvPr id="9" name="Chart 8">
          <a:extLst>
            <a:ext uri="{FF2B5EF4-FFF2-40B4-BE49-F238E27FC236}">
              <a16:creationId xmlns:a16="http://schemas.microsoft.com/office/drawing/2014/main" id="{F6E2E905-1D2E-47C2-9C6A-3DB337284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142875</xdr:colOff>
      <xdr:row>7</xdr:row>
      <xdr:rowOff>9525</xdr:rowOff>
    </xdr:from>
    <xdr:to>
      <xdr:col>4</xdr:col>
      <xdr:colOff>666750</xdr:colOff>
      <xdr:row>19</xdr:row>
      <xdr:rowOff>9525</xdr:rowOff>
    </xdr:to>
    <xdr:graphicFrame macro="">
      <xdr:nvGraphicFramePr>
        <xdr:cNvPr id="11" name="Chart 10">
          <a:extLst>
            <a:ext uri="{FF2B5EF4-FFF2-40B4-BE49-F238E27FC236}">
              <a16:creationId xmlns:a16="http://schemas.microsoft.com/office/drawing/2014/main" id="{A0988153-EF56-4E01-87E6-22E0DE9AE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1266825</xdr:colOff>
      <xdr:row>3</xdr:row>
      <xdr:rowOff>66675</xdr:rowOff>
    </xdr:from>
    <xdr:to>
      <xdr:col>1</xdr:col>
      <xdr:colOff>323850</xdr:colOff>
      <xdr:row>4</xdr:row>
      <xdr:rowOff>9525</xdr:rowOff>
    </xdr:to>
    <xdr:sp macro="" textlink="">
      <xdr:nvSpPr>
        <xdr:cNvPr id="12" name="Oval 11">
          <a:extLst>
            <a:ext uri="{FF2B5EF4-FFF2-40B4-BE49-F238E27FC236}">
              <a16:creationId xmlns:a16="http://schemas.microsoft.com/office/drawing/2014/main" id="{6FF8AB05-3BB6-4BBC-8EC1-7497B97774DB}"/>
            </a:ext>
          </a:extLst>
        </xdr:cNvPr>
        <xdr:cNvSpPr/>
      </xdr:nvSpPr>
      <xdr:spPr>
        <a:xfrm>
          <a:off x="1266825" y="638175"/>
          <a:ext cx="333375" cy="4000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t>
          </a:r>
        </a:p>
      </xdr:txBody>
    </xdr:sp>
    <xdr:clientData/>
  </xdr:twoCellAnchor>
  <xdr:twoCellAnchor>
    <xdr:from>
      <xdr:col>4</xdr:col>
      <xdr:colOff>19050</xdr:colOff>
      <xdr:row>3</xdr:row>
      <xdr:rowOff>28575</xdr:rowOff>
    </xdr:from>
    <xdr:to>
      <xdr:col>4</xdr:col>
      <xdr:colOff>476250</xdr:colOff>
      <xdr:row>4</xdr:row>
      <xdr:rowOff>47625</xdr:rowOff>
    </xdr:to>
    <xdr:sp macro="" textlink="">
      <xdr:nvSpPr>
        <xdr:cNvPr id="13" name="Oval 12">
          <a:extLst>
            <a:ext uri="{FF2B5EF4-FFF2-40B4-BE49-F238E27FC236}">
              <a16:creationId xmlns:a16="http://schemas.microsoft.com/office/drawing/2014/main" id="{38AB8507-75D8-43FF-BEED-1DBCAC200362}"/>
            </a:ext>
          </a:extLst>
        </xdr:cNvPr>
        <xdr:cNvSpPr/>
      </xdr:nvSpPr>
      <xdr:spPr>
        <a:xfrm>
          <a:off x="5124450" y="600075"/>
          <a:ext cx="457200" cy="4762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6.878927893522" createdVersion="8" refreshedVersion="8" minRefreshableVersion="3" recordCount="16" xr:uid="{700C6091-8A9F-4E07-9E8C-EACD86D31E8A}">
  <cacheSource type="worksheet">
    <worksheetSource ref="A1:I1048576" sheet="Data"/>
  </cacheSource>
  <cacheFields count="9">
    <cacheField name="Date" numFmtId="0">
      <sharedItems containsNonDate="0" containsDate="1" containsString="0" containsBlank="1" minDate="2026-01-02T00:00:00" maxDate="2026-06-26T00:00:00"/>
    </cacheField>
    <cacheField name="Month" numFmtId="0">
      <sharedItems containsBlank="1" count="7">
        <s v="Jan"/>
        <s v="Feb"/>
        <s v="Mar"/>
        <s v="Apr"/>
        <s v="May"/>
        <s v="Jun"/>
        <m/>
      </sharedItems>
    </cacheField>
    <cacheField name="Salesperson" numFmtId="0">
      <sharedItems containsBlank="1" count="5">
        <s v="John"/>
        <s v="Emma"/>
        <s v="Alex"/>
        <s v="Mia"/>
        <m/>
      </sharedItems>
    </cacheField>
    <cacheField name="Region" numFmtId="0">
      <sharedItems containsBlank="1" count="5">
        <s v="North"/>
        <s v="South"/>
        <s v="East"/>
        <s v="West"/>
        <m/>
      </sharedItems>
    </cacheField>
    <cacheField name="Product" numFmtId="0">
      <sharedItems containsBlank="1"/>
    </cacheField>
    <cacheField name="Category" numFmtId="0">
      <sharedItems containsBlank="1" count="3">
        <s v="Electronics"/>
        <s v="Accessories"/>
        <m/>
      </sharedItems>
    </cacheField>
    <cacheField name="Units Sold" numFmtId="0">
      <sharedItems containsString="0" containsBlank="1" containsNumber="1" containsInteger="1" minValue="3" maxValue="30"/>
    </cacheField>
    <cacheField name="Sales Amount" numFmtId="0">
      <sharedItems containsString="0" containsBlank="1" containsNumber="1" containsInteger="1" minValue="400" maxValue="3000" count="14">
        <n v="2500"/>
        <n v="400"/>
        <n v="600"/>
        <n v="1600"/>
        <n v="800"/>
        <n v="720"/>
        <n v="3000"/>
        <n v="500"/>
        <n v="1400"/>
        <n v="1000"/>
        <n v="1500"/>
        <n v="840"/>
        <n v="1200"/>
        <m/>
      </sharedItems>
    </cacheField>
    <cacheField name="Profit" numFmtId="0">
      <sharedItems containsString="0" containsBlank="1" containsNumber="1" containsInteger="1" minValue="120" maxValue="550"/>
    </cacheField>
  </cacheFields>
  <extLst>
    <ext xmlns:x14="http://schemas.microsoft.com/office/spreadsheetml/2009/9/main" uri="{725AE2AE-9491-48be-B2B4-4EB974FC3084}">
      <x14:pivotCacheDefinition pivotCacheId="1856244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d v="2026-01-02T00:00:00"/>
    <x v="0"/>
    <x v="0"/>
    <x v="0"/>
    <s v="Laptop"/>
    <x v="0"/>
    <n v="5"/>
    <x v="0"/>
    <n v="450"/>
  </r>
  <r>
    <d v="2026-01-05T00:00:00"/>
    <x v="0"/>
    <x v="1"/>
    <x v="1"/>
    <s v="Mouse"/>
    <x v="1"/>
    <n v="20"/>
    <x v="1"/>
    <n v="120"/>
  </r>
  <r>
    <d v="2026-01-10T00:00:00"/>
    <x v="0"/>
    <x v="2"/>
    <x v="2"/>
    <s v="Keyboard"/>
    <x v="1"/>
    <n v="15"/>
    <x v="2"/>
    <n v="180"/>
  </r>
  <r>
    <d v="2026-01-15T00:00:00"/>
    <x v="0"/>
    <x v="3"/>
    <x v="3"/>
    <s v="Monitor"/>
    <x v="0"/>
    <n v="8"/>
    <x v="3"/>
    <n v="320"/>
  </r>
  <r>
    <d v="2026-02-20T00:00:00"/>
    <x v="1"/>
    <x v="0"/>
    <x v="0"/>
    <s v="Printer"/>
    <x v="0"/>
    <n v="4"/>
    <x v="4"/>
    <n v="150"/>
  </r>
  <r>
    <d v="2026-02-22T00:00:00"/>
    <x v="1"/>
    <x v="1"/>
    <x v="1"/>
    <s v="Headset"/>
    <x v="1"/>
    <n v="12"/>
    <x v="5"/>
    <n v="210"/>
  </r>
  <r>
    <d v="2026-03-05T00:00:00"/>
    <x v="2"/>
    <x v="2"/>
    <x v="2"/>
    <s v="Laptop"/>
    <x v="0"/>
    <n v="6"/>
    <x v="6"/>
    <n v="550"/>
  </r>
  <r>
    <d v="2026-03-08T00:00:00"/>
    <x v="2"/>
    <x v="3"/>
    <x v="3"/>
    <s v="Mouse"/>
    <x v="1"/>
    <n v="25"/>
    <x v="7"/>
    <n v="150"/>
  </r>
  <r>
    <d v="2026-04-12T00:00:00"/>
    <x v="3"/>
    <x v="0"/>
    <x v="0"/>
    <s v="Monitor"/>
    <x v="0"/>
    <n v="7"/>
    <x v="8"/>
    <n v="280"/>
  </r>
  <r>
    <d v="2026-04-18T00:00:00"/>
    <x v="3"/>
    <x v="1"/>
    <x v="1"/>
    <s v="Keyboard"/>
    <x v="1"/>
    <n v="18"/>
    <x v="5"/>
    <n v="200"/>
  </r>
  <r>
    <d v="2026-05-25T00:00:00"/>
    <x v="4"/>
    <x v="2"/>
    <x v="2"/>
    <s v="Printer"/>
    <x v="0"/>
    <n v="5"/>
    <x v="9"/>
    <n v="190"/>
  </r>
  <r>
    <d v="2026-05-30T00:00:00"/>
    <x v="4"/>
    <x v="3"/>
    <x v="3"/>
    <s v="Laptop"/>
    <x v="0"/>
    <n v="3"/>
    <x v="10"/>
    <n v="300"/>
  </r>
  <r>
    <d v="2026-06-05T00:00:00"/>
    <x v="5"/>
    <x v="0"/>
    <x v="0"/>
    <s v="Headset"/>
    <x v="1"/>
    <n v="14"/>
    <x v="11"/>
    <n v="240"/>
  </r>
  <r>
    <d v="2026-06-15T00:00:00"/>
    <x v="5"/>
    <x v="1"/>
    <x v="1"/>
    <s v="Monitor"/>
    <x v="0"/>
    <n v="6"/>
    <x v="12"/>
    <n v="250"/>
  </r>
  <r>
    <d v="2026-06-25T00:00:00"/>
    <x v="5"/>
    <x v="2"/>
    <x v="2"/>
    <s v="Mouse"/>
    <x v="1"/>
    <n v="30"/>
    <x v="2"/>
    <n v="170"/>
  </r>
  <r>
    <m/>
    <x v="6"/>
    <x v="4"/>
    <x v="4"/>
    <m/>
    <x v="2"/>
    <m/>
    <x v="1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60BD96-C760-409F-8512-EC3CD157D5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D3:E9" firstHeaderRow="1" firstDataRow="1" firstDataCol="1"/>
  <pivotFields count="9">
    <pivotField showAll="0"/>
    <pivotField showAll="0">
      <items count="8">
        <item x="0"/>
        <item x="1"/>
        <item x="2"/>
        <item x="3"/>
        <item x="4"/>
        <item x="5"/>
        <item x="6"/>
        <item t="default"/>
      </items>
    </pivotField>
    <pivotField showAll="0">
      <items count="6">
        <item x="2"/>
        <item x="1"/>
        <item x="0"/>
        <item x="3"/>
        <item x="4"/>
        <item t="default"/>
      </items>
    </pivotField>
    <pivotField axis="axisRow" showAll="0">
      <items count="6">
        <item x="2"/>
        <item x="0"/>
        <item x="1"/>
        <item x="3"/>
        <item x="4"/>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fld="8" baseField="0" baseItem="0"/>
  </dataFields>
  <chartFormats count="14">
    <chartFormat chart="30" format="4" series="1">
      <pivotArea type="data" outline="0" fieldPosition="0">
        <references count="1">
          <reference field="4294967294" count="1" selected="0">
            <x v="0"/>
          </reference>
        </references>
      </pivotArea>
    </chartFormat>
    <chartFormat chart="29" format="19"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0" format="41"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7" series="1">
      <pivotArea type="data" outline="0" fieldPosition="0">
        <references count="1">
          <reference field="4294967294" count="1" selected="0">
            <x v="0"/>
          </reference>
        </references>
      </pivotArea>
    </chartFormat>
    <chartFormat chart="41" format="8">
      <pivotArea type="data" outline="0" fieldPosition="0">
        <references count="2">
          <reference field="4294967294" count="1" selected="0">
            <x v="0"/>
          </reference>
          <reference field="3" count="1" selected="0">
            <x v="0"/>
          </reference>
        </references>
      </pivotArea>
    </chartFormat>
    <chartFormat chart="41" format="9">
      <pivotArea type="data" outline="0" fieldPosition="0">
        <references count="2">
          <reference field="4294967294" count="1" selected="0">
            <x v="0"/>
          </reference>
          <reference field="3" count="1" selected="0">
            <x v="1"/>
          </reference>
        </references>
      </pivotArea>
    </chartFormat>
    <chartFormat chart="41" format="10">
      <pivotArea type="data" outline="0" fieldPosition="0">
        <references count="2">
          <reference field="4294967294" count="1" selected="0">
            <x v="0"/>
          </reference>
          <reference field="3" count="1" selected="0">
            <x v="2"/>
          </reference>
        </references>
      </pivotArea>
    </chartFormat>
    <chartFormat chart="41" format="11">
      <pivotArea type="data" outline="0" fieldPosition="0">
        <references count="2">
          <reference field="4294967294" count="1" selected="0">
            <x v="0"/>
          </reference>
          <reference field="3" count="1" selected="0">
            <x v="3"/>
          </reference>
        </references>
      </pivotArea>
    </chartFormat>
    <chartFormat chart="41"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E3D77-6AED-41BB-8EDD-F83B270ED9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9">
    <pivotField showAll="0"/>
    <pivotField axis="axisRow" showAll="0">
      <items count="8">
        <item x="0"/>
        <item x="1"/>
        <item x="2"/>
        <item x="3"/>
        <item x="4"/>
        <item x="5"/>
        <item x="6"/>
        <item t="default"/>
      </items>
    </pivotField>
    <pivotField showAll="0"/>
    <pivotField showAll="0">
      <items count="6">
        <item x="2"/>
        <item x="0"/>
        <item x="1"/>
        <item x="3"/>
        <item x="4"/>
        <item t="default"/>
      </items>
    </pivotField>
    <pivotField showAll="0"/>
    <pivotField showAll="0"/>
    <pivotField showAll="0"/>
    <pivotField dataField="1" showAll="0">
      <items count="15">
        <item x="1"/>
        <item x="7"/>
        <item x="2"/>
        <item x="5"/>
        <item x="4"/>
        <item x="11"/>
        <item x="9"/>
        <item x="12"/>
        <item h="1" x="8"/>
        <item h="1" x="10"/>
        <item h="1" x="3"/>
        <item h="1" x="0"/>
        <item h="1" x="6"/>
        <item h="1" x="13"/>
        <item t="default"/>
      </items>
    </pivotField>
    <pivotField showAll="0"/>
  </pivotFields>
  <rowFields count="1">
    <field x="1"/>
  </rowFields>
  <rowItems count="8">
    <i>
      <x/>
    </i>
    <i>
      <x v="1"/>
    </i>
    <i>
      <x v="2"/>
    </i>
    <i>
      <x v="3"/>
    </i>
    <i>
      <x v="4"/>
    </i>
    <i>
      <x v="5"/>
    </i>
    <i>
      <x v="6"/>
    </i>
    <i t="grand">
      <x/>
    </i>
  </rowItems>
  <colItems count="1">
    <i/>
  </colItems>
  <dataFields count="1">
    <dataField name="Sum of Sales 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DECDB9-EE07-4A7D-B3BA-4E70DFA5DD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3:H9" firstHeaderRow="1" firstDataRow="1" firstDataCol="1"/>
  <pivotFields count="9">
    <pivotField showAll="0"/>
    <pivotField showAll="0">
      <items count="8">
        <item x="0"/>
        <item x="1"/>
        <item x="2"/>
        <item x="3"/>
        <item x="4"/>
        <item x="5"/>
        <item x="6"/>
        <item t="default"/>
      </items>
    </pivotField>
    <pivotField showAll="0">
      <items count="6">
        <item x="2"/>
        <item x="1"/>
        <item x="0"/>
        <item x="3"/>
        <item x="4"/>
        <item t="default"/>
      </items>
    </pivotField>
    <pivotField axis="axisRow" showAll="0">
      <items count="6">
        <item x="2"/>
        <item x="0"/>
        <item x="1"/>
        <item x="3"/>
        <item x="4"/>
        <item t="default"/>
      </items>
    </pivotField>
    <pivotField showAll="0"/>
    <pivotField showAll="0">
      <items count="4">
        <item x="1"/>
        <item x="0"/>
        <item x="2"/>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Sum of Units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687C11-9F25-4F90-8FB7-C5CBD419AAB6}" sourceName="Region">
  <pivotTables>
    <pivotTable tabId="3" name="PivotTable2"/>
    <pivotTable tabId="3" name="PivotTable3"/>
  </pivotTables>
  <data>
    <tabular pivotCacheId="1856244674">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F08C35-8435-46EA-9760-A383018F7C4B}" sourceName="Month">
  <pivotTables>
    <pivotTable tabId="3" name="PivotTable1"/>
  </pivotTables>
  <data>
    <tabular pivotCacheId="1856244674">
      <items count="7">
        <i x="0" s="1"/>
        <i x="1" s="1"/>
        <i x="2" s="1"/>
        <i x="3" s="1"/>
        <i x="4"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1330A9-D80A-4EB3-BA86-43C689E34453}" cache="Slicer_Region" caption="Region" rowHeight="241300"/>
  <slicer name="Month" xr10:uid="{6F365339-7602-49A8-9D75-B64E064FD2CA}"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7390-150E-44F6-BC60-12B81D6D5292}">
  <dimension ref="A2:AA6"/>
  <sheetViews>
    <sheetView tabSelected="1" workbookViewId="0">
      <selection activeCell="D4" sqref="D4"/>
    </sheetView>
  </sheetViews>
  <sheetFormatPr defaultRowHeight="15"/>
  <cols>
    <col min="1" max="27" width="19.140625" style="1" customWidth="1"/>
  </cols>
  <sheetData>
    <row r="2" spans="2:9">
      <c r="B2" s="9" t="s">
        <v>37</v>
      </c>
      <c r="C2" s="8"/>
      <c r="E2" s="8"/>
      <c r="F2" s="8"/>
      <c r="H2" s="12"/>
      <c r="I2" s="12"/>
    </row>
    <row r="3" spans="2:9">
      <c r="B3" s="8"/>
      <c r="C3" s="8"/>
      <c r="E3" s="8"/>
      <c r="F3" s="8"/>
      <c r="H3" s="8"/>
      <c r="I3" s="8"/>
    </row>
    <row r="4" spans="2:9" ht="36">
      <c r="B4" s="10">
        <f>GETPIVOTDATA("Sales Amount",Pivot!$A$3)</f>
        <v>17380</v>
      </c>
      <c r="C4" s="8"/>
      <c r="E4" s="11">
        <f>GETPIVOTDATA("Sum of Profit",Pivot!$D$3)</f>
        <v>3760</v>
      </c>
      <c r="F4" s="8"/>
      <c r="H4" s="13">
        <f>GETPIVOTDATA("Units Sold",Pivot!$G$3)</f>
        <v>178</v>
      </c>
      <c r="I4" s="8"/>
    </row>
    <row r="5" spans="2:9">
      <c r="B5" s="8"/>
      <c r="C5" s="8"/>
      <c r="E5" s="8"/>
      <c r="F5" s="8"/>
      <c r="H5" s="8"/>
      <c r="I5" s="8"/>
    </row>
    <row r="6" spans="2:9">
      <c r="B6" s="8"/>
      <c r="C6" s="8"/>
      <c r="E6" s="8"/>
      <c r="F6" s="8"/>
      <c r="H6" s="8"/>
      <c r="I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9F0B-9D7D-4A2F-9EF4-6B7B4112AE25}">
  <dimension ref="A3:H11"/>
  <sheetViews>
    <sheetView workbookViewId="0">
      <selection activeCell="H10" sqref="H10"/>
    </sheetView>
  </sheetViews>
  <sheetFormatPr defaultRowHeight="15"/>
  <cols>
    <col min="1" max="1" width="13.140625" bestFit="1" customWidth="1"/>
    <col min="2" max="2" width="20" bestFit="1" customWidth="1"/>
    <col min="4" max="4" width="13.140625" bestFit="1" customWidth="1"/>
    <col min="5" max="6" width="12.5703125" bestFit="1" customWidth="1"/>
    <col min="7" max="7" width="13.140625" bestFit="1" customWidth="1"/>
    <col min="8" max="9" width="16.7109375" bestFit="1" customWidth="1"/>
  </cols>
  <sheetData>
    <row r="3" spans="1:8">
      <c r="A3" s="6" t="s">
        <v>31</v>
      </c>
      <c r="B3" t="s">
        <v>34</v>
      </c>
      <c r="D3" s="6" t="s">
        <v>31</v>
      </c>
      <c r="E3" t="s">
        <v>36</v>
      </c>
      <c r="G3" s="6" t="s">
        <v>31</v>
      </c>
      <c r="H3" t="s">
        <v>35</v>
      </c>
    </row>
    <row r="4" spans="1:8">
      <c r="A4" s="7" t="s">
        <v>9</v>
      </c>
      <c r="B4" s="14">
        <v>5100</v>
      </c>
      <c r="D4" s="7" t="s">
        <v>19</v>
      </c>
      <c r="E4">
        <v>1090</v>
      </c>
      <c r="G4" s="7" t="s">
        <v>19</v>
      </c>
      <c r="H4">
        <v>56</v>
      </c>
    </row>
    <row r="5" spans="1:8">
      <c r="A5" s="7" t="s">
        <v>24</v>
      </c>
      <c r="B5" s="14">
        <v>1520</v>
      </c>
      <c r="D5" s="7" t="s">
        <v>11</v>
      </c>
      <c r="E5">
        <v>1120</v>
      </c>
      <c r="G5" s="7" t="s">
        <v>11</v>
      </c>
      <c r="H5">
        <v>30</v>
      </c>
    </row>
    <row r="6" spans="1:8">
      <c r="A6" s="7" t="s">
        <v>27</v>
      </c>
      <c r="B6" s="14">
        <v>3500</v>
      </c>
      <c r="D6" s="7" t="s">
        <v>15</v>
      </c>
      <c r="E6">
        <v>780</v>
      </c>
      <c r="G6" s="7" t="s">
        <v>15</v>
      </c>
      <c r="H6">
        <v>56</v>
      </c>
    </row>
    <row r="7" spans="1:8">
      <c r="A7" s="7" t="s">
        <v>28</v>
      </c>
      <c r="B7" s="14">
        <v>2120</v>
      </c>
      <c r="D7" s="7" t="s">
        <v>22</v>
      </c>
      <c r="E7">
        <v>770</v>
      </c>
      <c r="G7" s="7" t="s">
        <v>22</v>
      </c>
      <c r="H7">
        <v>36</v>
      </c>
    </row>
    <row r="8" spans="1:8">
      <c r="A8" s="7" t="s">
        <v>29</v>
      </c>
      <c r="B8" s="14">
        <v>2500</v>
      </c>
      <c r="D8" s="7" t="s">
        <v>32</v>
      </c>
      <c r="G8" s="7" t="s">
        <v>32</v>
      </c>
    </row>
    <row r="9" spans="1:8">
      <c r="A9" s="7" t="s">
        <v>30</v>
      </c>
      <c r="B9" s="14">
        <v>2640</v>
      </c>
      <c r="D9" s="7" t="s">
        <v>33</v>
      </c>
      <c r="E9">
        <v>3760</v>
      </c>
      <c r="G9" s="7" t="s">
        <v>33</v>
      </c>
      <c r="H9">
        <v>178</v>
      </c>
    </row>
    <row r="10" spans="1:8">
      <c r="A10" s="7" t="s">
        <v>32</v>
      </c>
      <c r="B10" s="14"/>
    </row>
    <row r="11" spans="1:8">
      <c r="A11" s="7" t="s">
        <v>33</v>
      </c>
      <c r="B11" s="14">
        <v>17380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C2922-BF61-4E31-B63A-0788C4802945}">
  <dimension ref="A1:I16"/>
  <sheetViews>
    <sheetView topLeftCell="A7" workbookViewId="0">
      <selection activeCell="K17" sqref="K17"/>
    </sheetView>
  </sheetViews>
  <sheetFormatPr defaultRowHeight="15"/>
  <cols>
    <col min="1" max="1" width="15.42578125" style="5" customWidth="1"/>
    <col min="2" max="9" width="9.140625" style="5"/>
    <col min="10" max="19" width="25.42578125" customWidth="1"/>
  </cols>
  <sheetData>
    <row r="1" spans="1:9" ht="30">
      <c r="A1" s="2" t="s">
        <v>0</v>
      </c>
      <c r="B1" s="2" t="s">
        <v>1</v>
      </c>
      <c r="C1" s="2" t="s">
        <v>2</v>
      </c>
      <c r="D1" s="2" t="s">
        <v>3</v>
      </c>
      <c r="E1" s="2" t="s">
        <v>4</v>
      </c>
      <c r="F1" s="2" t="s">
        <v>5</v>
      </c>
      <c r="G1" s="2" t="s">
        <v>6</v>
      </c>
      <c r="H1" s="2" t="s">
        <v>7</v>
      </c>
      <c r="I1" s="2" t="s">
        <v>8</v>
      </c>
    </row>
    <row r="2" spans="1:9" ht="30">
      <c r="A2" s="3">
        <v>46024</v>
      </c>
      <c r="B2" s="4" t="s">
        <v>9</v>
      </c>
      <c r="C2" s="4" t="s">
        <v>10</v>
      </c>
      <c r="D2" s="4" t="s">
        <v>11</v>
      </c>
      <c r="E2" s="4" t="s">
        <v>12</v>
      </c>
      <c r="F2" s="4" t="s">
        <v>13</v>
      </c>
      <c r="G2" s="4">
        <v>5</v>
      </c>
      <c r="H2" s="4">
        <v>2500</v>
      </c>
      <c r="I2" s="4">
        <v>450</v>
      </c>
    </row>
    <row r="3" spans="1:9" ht="30">
      <c r="A3" s="3">
        <v>46027</v>
      </c>
      <c r="B3" s="4" t="s">
        <v>9</v>
      </c>
      <c r="C3" s="4" t="s">
        <v>14</v>
      </c>
      <c r="D3" s="4" t="s">
        <v>15</v>
      </c>
      <c r="E3" s="4" t="s">
        <v>16</v>
      </c>
      <c r="F3" s="4" t="s">
        <v>17</v>
      </c>
      <c r="G3" s="4">
        <v>20</v>
      </c>
      <c r="H3" s="4">
        <v>400</v>
      </c>
      <c r="I3" s="4">
        <v>120</v>
      </c>
    </row>
    <row r="4" spans="1:9" ht="30">
      <c r="A4" s="3">
        <v>46032</v>
      </c>
      <c r="B4" s="4" t="s">
        <v>9</v>
      </c>
      <c r="C4" s="4" t="s">
        <v>18</v>
      </c>
      <c r="D4" s="4" t="s">
        <v>19</v>
      </c>
      <c r="E4" s="4" t="s">
        <v>20</v>
      </c>
      <c r="F4" s="4" t="s">
        <v>17</v>
      </c>
      <c r="G4" s="4">
        <v>15</v>
      </c>
      <c r="H4" s="4">
        <v>600</v>
      </c>
      <c r="I4" s="4">
        <v>180</v>
      </c>
    </row>
    <row r="5" spans="1:9" ht="30">
      <c r="A5" s="3">
        <v>46037</v>
      </c>
      <c r="B5" s="4" t="s">
        <v>9</v>
      </c>
      <c r="C5" s="4" t="s">
        <v>21</v>
      </c>
      <c r="D5" s="4" t="s">
        <v>22</v>
      </c>
      <c r="E5" s="4" t="s">
        <v>23</v>
      </c>
      <c r="F5" s="4" t="s">
        <v>13</v>
      </c>
      <c r="G5" s="4">
        <v>8</v>
      </c>
      <c r="H5" s="4">
        <v>1600</v>
      </c>
      <c r="I5" s="4">
        <v>320</v>
      </c>
    </row>
    <row r="6" spans="1:9" ht="30">
      <c r="A6" s="3">
        <v>46073</v>
      </c>
      <c r="B6" s="4" t="s">
        <v>24</v>
      </c>
      <c r="C6" s="4" t="s">
        <v>10</v>
      </c>
      <c r="D6" s="4" t="s">
        <v>11</v>
      </c>
      <c r="E6" s="4" t="s">
        <v>25</v>
      </c>
      <c r="F6" s="4" t="s">
        <v>13</v>
      </c>
      <c r="G6" s="4">
        <v>4</v>
      </c>
      <c r="H6" s="4">
        <v>800</v>
      </c>
      <c r="I6" s="4">
        <v>150</v>
      </c>
    </row>
    <row r="7" spans="1:9" ht="30">
      <c r="A7" s="3">
        <v>46075</v>
      </c>
      <c r="B7" s="4" t="s">
        <v>24</v>
      </c>
      <c r="C7" s="4" t="s">
        <v>14</v>
      </c>
      <c r="D7" s="4" t="s">
        <v>15</v>
      </c>
      <c r="E7" s="4" t="s">
        <v>26</v>
      </c>
      <c r="F7" s="4" t="s">
        <v>17</v>
      </c>
      <c r="G7" s="4">
        <v>12</v>
      </c>
      <c r="H7" s="4">
        <v>720</v>
      </c>
      <c r="I7" s="4">
        <v>210</v>
      </c>
    </row>
    <row r="8" spans="1:9" ht="30">
      <c r="A8" s="3">
        <v>46086</v>
      </c>
      <c r="B8" s="4" t="s">
        <v>27</v>
      </c>
      <c r="C8" s="4" t="s">
        <v>18</v>
      </c>
      <c r="D8" s="4" t="s">
        <v>19</v>
      </c>
      <c r="E8" s="4" t="s">
        <v>12</v>
      </c>
      <c r="F8" s="4" t="s">
        <v>13</v>
      </c>
      <c r="G8" s="4">
        <v>6</v>
      </c>
      <c r="H8" s="4">
        <v>3000</v>
      </c>
      <c r="I8" s="4">
        <v>550</v>
      </c>
    </row>
    <row r="9" spans="1:9" ht="30">
      <c r="A9" s="3">
        <v>46089</v>
      </c>
      <c r="B9" s="4" t="s">
        <v>27</v>
      </c>
      <c r="C9" s="4" t="s">
        <v>21</v>
      </c>
      <c r="D9" s="4" t="s">
        <v>22</v>
      </c>
      <c r="E9" s="4" t="s">
        <v>16</v>
      </c>
      <c r="F9" s="4" t="s">
        <v>17</v>
      </c>
      <c r="G9" s="4">
        <v>25</v>
      </c>
      <c r="H9" s="4">
        <v>500</v>
      </c>
      <c r="I9" s="4">
        <v>150</v>
      </c>
    </row>
    <row r="10" spans="1:9" ht="30">
      <c r="A10" s="3">
        <v>46124</v>
      </c>
      <c r="B10" s="4" t="s">
        <v>28</v>
      </c>
      <c r="C10" s="4" t="s">
        <v>10</v>
      </c>
      <c r="D10" s="4" t="s">
        <v>11</v>
      </c>
      <c r="E10" s="4" t="s">
        <v>23</v>
      </c>
      <c r="F10" s="4" t="s">
        <v>13</v>
      </c>
      <c r="G10" s="4">
        <v>7</v>
      </c>
      <c r="H10" s="4">
        <v>1400</v>
      </c>
      <c r="I10" s="4">
        <v>280</v>
      </c>
    </row>
    <row r="11" spans="1:9" ht="30">
      <c r="A11" s="3">
        <v>46130</v>
      </c>
      <c r="B11" s="4" t="s">
        <v>28</v>
      </c>
      <c r="C11" s="4" t="s">
        <v>14</v>
      </c>
      <c r="D11" s="4" t="s">
        <v>15</v>
      </c>
      <c r="E11" s="4" t="s">
        <v>20</v>
      </c>
      <c r="F11" s="4" t="s">
        <v>17</v>
      </c>
      <c r="G11" s="4">
        <v>18</v>
      </c>
      <c r="H11" s="4">
        <v>720</v>
      </c>
      <c r="I11" s="4">
        <v>200</v>
      </c>
    </row>
    <row r="12" spans="1:9" ht="30">
      <c r="A12" s="3">
        <v>46167</v>
      </c>
      <c r="B12" s="4" t="s">
        <v>29</v>
      </c>
      <c r="C12" s="4" t="s">
        <v>18</v>
      </c>
      <c r="D12" s="4" t="s">
        <v>19</v>
      </c>
      <c r="E12" s="4" t="s">
        <v>25</v>
      </c>
      <c r="F12" s="4" t="s">
        <v>13</v>
      </c>
      <c r="G12" s="4">
        <v>5</v>
      </c>
      <c r="H12" s="4">
        <v>1000</v>
      </c>
      <c r="I12" s="4">
        <v>190</v>
      </c>
    </row>
    <row r="13" spans="1:9" ht="30">
      <c r="A13" s="3">
        <v>46172</v>
      </c>
      <c r="B13" s="4" t="s">
        <v>29</v>
      </c>
      <c r="C13" s="4" t="s">
        <v>21</v>
      </c>
      <c r="D13" s="4" t="s">
        <v>22</v>
      </c>
      <c r="E13" s="4" t="s">
        <v>12</v>
      </c>
      <c r="F13" s="4" t="s">
        <v>13</v>
      </c>
      <c r="G13" s="4">
        <v>3</v>
      </c>
      <c r="H13" s="4">
        <v>1500</v>
      </c>
      <c r="I13" s="4">
        <v>300</v>
      </c>
    </row>
    <row r="14" spans="1:9" ht="30">
      <c r="A14" s="3">
        <v>46178</v>
      </c>
      <c r="B14" s="4" t="s">
        <v>30</v>
      </c>
      <c r="C14" s="4" t="s">
        <v>10</v>
      </c>
      <c r="D14" s="4" t="s">
        <v>11</v>
      </c>
      <c r="E14" s="4" t="s">
        <v>26</v>
      </c>
      <c r="F14" s="4" t="s">
        <v>17</v>
      </c>
      <c r="G14" s="4">
        <v>14</v>
      </c>
      <c r="H14" s="4">
        <v>840</v>
      </c>
      <c r="I14" s="4">
        <v>240</v>
      </c>
    </row>
    <row r="15" spans="1:9" ht="30">
      <c r="A15" s="3">
        <v>46188</v>
      </c>
      <c r="B15" s="4" t="s">
        <v>30</v>
      </c>
      <c r="C15" s="4" t="s">
        <v>14</v>
      </c>
      <c r="D15" s="4" t="s">
        <v>15</v>
      </c>
      <c r="E15" s="4" t="s">
        <v>23</v>
      </c>
      <c r="F15" s="4" t="s">
        <v>13</v>
      </c>
      <c r="G15" s="4">
        <v>6</v>
      </c>
      <c r="H15" s="4">
        <v>1200</v>
      </c>
      <c r="I15" s="4">
        <v>250</v>
      </c>
    </row>
    <row r="16" spans="1:9" ht="30">
      <c r="A16" s="3">
        <v>46198</v>
      </c>
      <c r="B16" s="4" t="s">
        <v>30</v>
      </c>
      <c r="C16" s="4" t="s">
        <v>18</v>
      </c>
      <c r="D16" s="4" t="s">
        <v>19</v>
      </c>
      <c r="E16" s="4" t="s">
        <v>16</v>
      </c>
      <c r="F16" s="4" t="s">
        <v>17</v>
      </c>
      <c r="G16" s="4">
        <v>30</v>
      </c>
      <c r="H16" s="4">
        <v>600</v>
      </c>
      <c r="I16" s="4">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2026-10-21T15:33:28Z</dcterms:created>
  <dcterms:modified xsi:type="dcterms:W3CDTF">2026-10-22T15:40:44Z</dcterms:modified>
</cp:coreProperties>
</file>